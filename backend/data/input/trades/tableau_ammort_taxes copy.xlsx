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uisgarnier/Library/Mobile Documents/com~apple~CloudDocs/Python/claudeAI/apparts mars/data/input/app_data/"/>
    </mc:Choice>
  </mc:AlternateContent>
  <xr:revisionPtr revIDLastSave="0" documentId="13_ncr:1_{F08ED737-58EB-8049-9324-695E3F8330DB}" xr6:coauthVersionLast="47" xr6:coauthVersionMax="47" xr10:uidLastSave="{00000000-0000-0000-0000-000000000000}"/>
  <bookViews>
    <workbookView xWindow="-18560" yWindow="-23760" windowWidth="34080" windowHeight="19780" xr2:uid="{49AA9CED-D137-684D-8B16-736B7FDBAE4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2" l="1"/>
  <c r="H9" i="2"/>
  <c r="J158" i="2" s="1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J23" i="2" s="1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L39" i="2" s="1"/>
  <c r="H40" i="2"/>
  <c r="H41" i="2"/>
  <c r="H42" i="2"/>
  <c r="H43" i="2"/>
  <c r="H44" i="2"/>
  <c r="H45" i="2"/>
  <c r="H46" i="2"/>
  <c r="H47" i="2"/>
  <c r="L47" i="2" s="1"/>
  <c r="H48" i="2"/>
  <c r="H49" i="2"/>
  <c r="H50" i="2"/>
  <c r="H51" i="2"/>
  <c r="H52" i="2"/>
  <c r="H53" i="2"/>
  <c r="H54" i="2"/>
  <c r="H55" i="2"/>
  <c r="L55" i="2" s="1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J103" i="2" s="1"/>
  <c r="H104" i="2"/>
  <c r="H105" i="2"/>
  <c r="H106" i="2"/>
  <c r="H107" i="2"/>
  <c r="H108" i="2"/>
  <c r="H109" i="2"/>
  <c r="H110" i="2"/>
  <c r="H111" i="2"/>
  <c r="L111" i="2" s="1"/>
  <c r="H112" i="2"/>
  <c r="H113" i="2"/>
  <c r="H114" i="2"/>
  <c r="H115" i="2"/>
  <c r="H116" i="2"/>
  <c r="H117" i="2"/>
  <c r="H118" i="2"/>
  <c r="H119" i="2"/>
  <c r="L119" i="2" s="1"/>
  <c r="H120" i="2"/>
  <c r="H121" i="2"/>
  <c r="H122" i="2"/>
  <c r="H123" i="2"/>
  <c r="H124" i="2"/>
  <c r="H125" i="2"/>
  <c r="H126" i="2"/>
  <c r="H127" i="2"/>
  <c r="J127" i="2" s="1"/>
  <c r="H128" i="2"/>
  <c r="H129" i="2"/>
  <c r="H130" i="2"/>
  <c r="L130" i="2" s="1"/>
  <c r="H131" i="2"/>
  <c r="H132" i="2"/>
  <c r="H133" i="2"/>
  <c r="H134" i="2"/>
  <c r="H135" i="2"/>
  <c r="H136" i="2"/>
  <c r="H137" i="2"/>
  <c r="H138" i="2"/>
  <c r="L138" i="2" s="1"/>
  <c r="H139" i="2"/>
  <c r="H140" i="2"/>
  <c r="H141" i="2"/>
  <c r="H142" i="2"/>
  <c r="H143" i="2"/>
  <c r="H144" i="2"/>
  <c r="H145" i="2"/>
  <c r="H146" i="2"/>
  <c r="L146" i="2" s="1"/>
  <c r="H147" i="2"/>
  <c r="H148" i="2"/>
  <c r="H149" i="2"/>
  <c r="H150" i="2"/>
  <c r="H151" i="2"/>
  <c r="L151" i="2" s="1"/>
  <c r="H152" i="2"/>
  <c r="H153" i="2"/>
  <c r="H154" i="2"/>
  <c r="L154" i="2" s="1"/>
  <c r="H155" i="2"/>
  <c r="H156" i="2"/>
  <c r="H157" i="2"/>
  <c r="H158" i="2"/>
  <c r="H159" i="2"/>
  <c r="J159" i="2" s="1"/>
  <c r="H160" i="2"/>
  <c r="H161" i="2"/>
  <c r="H162" i="2"/>
  <c r="L162" i="2" s="1"/>
  <c r="H163" i="2"/>
  <c r="H164" i="2"/>
  <c r="H165" i="2"/>
  <c r="H166" i="2"/>
  <c r="H167" i="2"/>
  <c r="H168" i="2"/>
  <c r="H169" i="2"/>
  <c r="H170" i="2"/>
  <c r="L71" i="2" s="1"/>
  <c r="H171" i="2"/>
  <c r="K171" i="2" s="1"/>
  <c r="H172" i="2"/>
  <c r="H173" i="2"/>
  <c r="H174" i="2"/>
  <c r="H175" i="2"/>
  <c r="L175" i="2" s="1"/>
  <c r="H176" i="2"/>
  <c r="H177" i="2"/>
  <c r="H178" i="2"/>
  <c r="H7" i="2"/>
  <c r="K43" i="2" s="1"/>
  <c r="B5" i="1"/>
  <c r="C5" i="1"/>
  <c r="D5" i="1"/>
  <c r="E5" i="1"/>
  <c r="F5" i="1"/>
  <c r="R5" i="1"/>
  <c r="S5" i="1"/>
  <c r="G5" i="1"/>
  <c r="H5" i="1"/>
  <c r="I5" i="1"/>
  <c r="J5" i="1"/>
  <c r="K5" i="1"/>
  <c r="L5" i="1"/>
  <c r="M5" i="1"/>
  <c r="N5" i="1"/>
  <c r="O5" i="1"/>
  <c r="P5" i="1"/>
  <c r="Q5" i="1"/>
  <c r="L34" i="2" l="1"/>
  <c r="I178" i="2"/>
  <c r="L178" i="2"/>
  <c r="J178" i="2"/>
  <c r="K178" i="2"/>
  <c r="L122" i="2"/>
  <c r="L82" i="2"/>
  <c r="L26" i="2"/>
  <c r="J85" i="2"/>
  <c r="I169" i="2"/>
  <c r="L169" i="2"/>
  <c r="J169" i="2"/>
  <c r="K169" i="2"/>
  <c r="I153" i="2"/>
  <c r="L153" i="2"/>
  <c r="J153" i="2"/>
  <c r="K153" i="2"/>
  <c r="I145" i="2"/>
  <c r="L145" i="2"/>
  <c r="J145" i="2"/>
  <c r="K145" i="2"/>
  <c r="I129" i="2"/>
  <c r="L129" i="2"/>
  <c r="J129" i="2"/>
  <c r="K129" i="2"/>
  <c r="I121" i="2"/>
  <c r="L121" i="2"/>
  <c r="J121" i="2"/>
  <c r="K121" i="2"/>
  <c r="I113" i="2"/>
  <c r="L113" i="2"/>
  <c r="J113" i="2"/>
  <c r="K113" i="2"/>
  <c r="I105" i="2"/>
  <c r="L105" i="2"/>
  <c r="J105" i="2"/>
  <c r="K105" i="2"/>
  <c r="I89" i="2"/>
  <c r="L89" i="2"/>
  <c r="J89" i="2"/>
  <c r="K89" i="2"/>
  <c r="I81" i="2"/>
  <c r="L81" i="2"/>
  <c r="J81" i="2"/>
  <c r="K81" i="2"/>
  <c r="I65" i="2"/>
  <c r="L65" i="2"/>
  <c r="J65" i="2"/>
  <c r="K65" i="2"/>
  <c r="I49" i="2"/>
  <c r="L49" i="2"/>
  <c r="J49" i="2"/>
  <c r="K49" i="2"/>
  <c r="I33" i="2"/>
  <c r="L33" i="2"/>
  <c r="J33" i="2"/>
  <c r="K33" i="2"/>
  <c r="I17" i="2"/>
  <c r="L17" i="2"/>
  <c r="J17" i="2"/>
  <c r="K17" i="2"/>
  <c r="J111" i="2"/>
  <c r="K147" i="2"/>
  <c r="K19" i="2"/>
  <c r="L127" i="2"/>
  <c r="L63" i="2"/>
  <c r="L176" i="2"/>
  <c r="J176" i="2"/>
  <c r="K176" i="2"/>
  <c r="L168" i="2"/>
  <c r="J168" i="2"/>
  <c r="K168" i="2"/>
  <c r="L160" i="2"/>
  <c r="J160" i="2"/>
  <c r="K160" i="2"/>
  <c r="L152" i="2"/>
  <c r="J152" i="2"/>
  <c r="K152" i="2"/>
  <c r="L144" i="2"/>
  <c r="J144" i="2"/>
  <c r="K144" i="2"/>
  <c r="L136" i="2"/>
  <c r="J136" i="2"/>
  <c r="K136" i="2"/>
  <c r="L128" i="2"/>
  <c r="J128" i="2"/>
  <c r="K128" i="2"/>
  <c r="L120" i="2"/>
  <c r="J120" i="2"/>
  <c r="K120" i="2"/>
  <c r="L112" i="2"/>
  <c r="J112" i="2"/>
  <c r="K112" i="2"/>
  <c r="L104" i="2"/>
  <c r="J104" i="2"/>
  <c r="K104" i="2"/>
  <c r="L96" i="2"/>
  <c r="J96" i="2"/>
  <c r="K96" i="2"/>
  <c r="L88" i="2"/>
  <c r="J88" i="2"/>
  <c r="K88" i="2"/>
  <c r="L80" i="2"/>
  <c r="J80" i="2"/>
  <c r="K80" i="2"/>
  <c r="L72" i="2"/>
  <c r="J72" i="2"/>
  <c r="K72" i="2"/>
  <c r="L64" i="2"/>
  <c r="J64" i="2"/>
  <c r="K64" i="2"/>
  <c r="L56" i="2"/>
  <c r="J56" i="2"/>
  <c r="K56" i="2"/>
  <c r="L48" i="2"/>
  <c r="J48" i="2"/>
  <c r="K48" i="2"/>
  <c r="L40" i="2"/>
  <c r="J40" i="2"/>
  <c r="K40" i="2"/>
  <c r="L32" i="2"/>
  <c r="J32" i="2"/>
  <c r="K32" i="2"/>
  <c r="L24" i="2"/>
  <c r="J24" i="2"/>
  <c r="K24" i="2"/>
  <c r="L16" i="2"/>
  <c r="J16" i="2"/>
  <c r="K16" i="2"/>
  <c r="I8" i="2"/>
  <c r="L8" i="2"/>
  <c r="J8" i="2"/>
  <c r="K8" i="2"/>
  <c r="J141" i="2"/>
  <c r="J109" i="2"/>
  <c r="J77" i="2"/>
  <c r="K139" i="2"/>
  <c r="K75" i="2"/>
  <c r="K11" i="2"/>
  <c r="I170" i="2"/>
  <c r="L170" i="2"/>
  <c r="J170" i="2"/>
  <c r="K170" i="2"/>
  <c r="L114" i="2"/>
  <c r="L66" i="2"/>
  <c r="L18" i="2"/>
  <c r="K91" i="2"/>
  <c r="J165" i="2"/>
  <c r="K167" i="2"/>
  <c r="K135" i="2"/>
  <c r="K95" i="2"/>
  <c r="K71" i="2"/>
  <c r="K31" i="2"/>
  <c r="K23" i="2"/>
  <c r="K15" i="2"/>
  <c r="I15" i="2"/>
  <c r="I16" i="2"/>
  <c r="J135" i="2"/>
  <c r="J71" i="2"/>
  <c r="J15" i="2"/>
  <c r="K131" i="2"/>
  <c r="K67" i="2"/>
  <c r="L74" i="2"/>
  <c r="L10" i="2"/>
  <c r="K27" i="2"/>
  <c r="J142" i="2"/>
  <c r="K175" i="2"/>
  <c r="K143" i="2"/>
  <c r="K103" i="2"/>
  <c r="K63" i="2"/>
  <c r="K174" i="2"/>
  <c r="K158" i="2"/>
  <c r="K150" i="2"/>
  <c r="K142" i="2"/>
  <c r="K134" i="2"/>
  <c r="K126" i="2"/>
  <c r="K118" i="2"/>
  <c r="K110" i="2"/>
  <c r="K102" i="2"/>
  <c r="K94" i="2"/>
  <c r="K86" i="2"/>
  <c r="K78" i="2"/>
  <c r="K70" i="2"/>
  <c r="K62" i="2"/>
  <c r="K54" i="2"/>
  <c r="K46" i="2"/>
  <c r="K38" i="2"/>
  <c r="K30" i="2"/>
  <c r="K22" i="2"/>
  <c r="K14" i="2"/>
  <c r="J175" i="2"/>
  <c r="J157" i="2"/>
  <c r="J133" i="2"/>
  <c r="J101" i="2"/>
  <c r="J69" i="2"/>
  <c r="K7" i="2"/>
  <c r="K123" i="2"/>
  <c r="K59" i="2"/>
  <c r="L167" i="2"/>
  <c r="L103" i="2"/>
  <c r="L106" i="2"/>
  <c r="L58" i="2"/>
  <c r="J166" i="2"/>
  <c r="J39" i="2"/>
  <c r="J79" i="2"/>
  <c r="K159" i="2"/>
  <c r="K111" i="2"/>
  <c r="K55" i="2"/>
  <c r="K173" i="2"/>
  <c r="K149" i="2"/>
  <c r="K141" i="2"/>
  <c r="K133" i="2"/>
  <c r="K125" i="2"/>
  <c r="K117" i="2"/>
  <c r="K109" i="2"/>
  <c r="K101" i="2"/>
  <c r="K93" i="2"/>
  <c r="K85" i="2"/>
  <c r="K77" i="2"/>
  <c r="K69" i="2"/>
  <c r="K61" i="2"/>
  <c r="K53" i="2"/>
  <c r="K45" i="2"/>
  <c r="K37" i="2"/>
  <c r="K29" i="2"/>
  <c r="K21" i="2"/>
  <c r="K13" i="2"/>
  <c r="J174" i="2"/>
  <c r="J151" i="2"/>
  <c r="J95" i="2"/>
  <c r="J63" i="2"/>
  <c r="K115" i="2"/>
  <c r="K51" i="2"/>
  <c r="L159" i="2"/>
  <c r="L95" i="2"/>
  <c r="L31" i="2"/>
  <c r="L90" i="2"/>
  <c r="L42" i="2"/>
  <c r="J117" i="2"/>
  <c r="L135" i="2"/>
  <c r="I177" i="2"/>
  <c r="L177" i="2"/>
  <c r="J177" i="2"/>
  <c r="K177" i="2"/>
  <c r="I161" i="2"/>
  <c r="L161" i="2"/>
  <c r="J161" i="2"/>
  <c r="I137" i="2"/>
  <c r="L137" i="2"/>
  <c r="J137" i="2"/>
  <c r="K137" i="2"/>
  <c r="I97" i="2"/>
  <c r="L97" i="2"/>
  <c r="J97" i="2"/>
  <c r="K97" i="2"/>
  <c r="I73" i="2"/>
  <c r="L73" i="2"/>
  <c r="J73" i="2"/>
  <c r="K73" i="2"/>
  <c r="I57" i="2"/>
  <c r="L57" i="2"/>
  <c r="J57" i="2"/>
  <c r="K57" i="2"/>
  <c r="I41" i="2"/>
  <c r="L41" i="2"/>
  <c r="J41" i="2"/>
  <c r="K41" i="2"/>
  <c r="I25" i="2"/>
  <c r="L25" i="2"/>
  <c r="J25" i="2"/>
  <c r="K25" i="2"/>
  <c r="I9" i="2"/>
  <c r="L9" i="2"/>
  <c r="J9" i="2"/>
  <c r="K9" i="2"/>
  <c r="K83" i="2"/>
  <c r="K127" i="2"/>
  <c r="K87" i="2"/>
  <c r="K39" i="2"/>
  <c r="K165" i="2"/>
  <c r="K172" i="2"/>
  <c r="K156" i="2"/>
  <c r="K140" i="2"/>
  <c r="K124" i="2"/>
  <c r="K108" i="2"/>
  <c r="K92" i="2"/>
  <c r="K84" i="2"/>
  <c r="K68" i="2"/>
  <c r="K44" i="2"/>
  <c r="K28" i="2"/>
  <c r="L12" i="2"/>
  <c r="J150" i="2"/>
  <c r="J93" i="2"/>
  <c r="K163" i="2"/>
  <c r="K107" i="2"/>
  <c r="L87" i="2"/>
  <c r="L23" i="2"/>
  <c r="L98" i="2"/>
  <c r="L50" i="2"/>
  <c r="J143" i="2"/>
  <c r="K155" i="2"/>
  <c r="J31" i="2"/>
  <c r="K151" i="2"/>
  <c r="K119" i="2"/>
  <c r="K79" i="2"/>
  <c r="K47" i="2"/>
  <c r="K166" i="2"/>
  <c r="K157" i="2"/>
  <c r="K164" i="2"/>
  <c r="K148" i="2"/>
  <c r="K132" i="2"/>
  <c r="K116" i="2"/>
  <c r="K100" i="2"/>
  <c r="K76" i="2"/>
  <c r="K60" i="2"/>
  <c r="K52" i="2"/>
  <c r="K36" i="2"/>
  <c r="K20" i="2"/>
  <c r="J173" i="2"/>
  <c r="J125" i="2"/>
  <c r="J55" i="2"/>
  <c r="I68" i="2"/>
  <c r="J29" i="2"/>
  <c r="J37" i="2"/>
  <c r="J45" i="2"/>
  <c r="J61" i="2"/>
  <c r="L7" i="2"/>
  <c r="J7" i="2"/>
  <c r="J21" i="2"/>
  <c r="J53" i="2"/>
  <c r="J13" i="2"/>
  <c r="J14" i="2"/>
  <c r="J22" i="2"/>
  <c r="J30" i="2"/>
  <c r="J38" i="2"/>
  <c r="J46" i="2"/>
  <c r="J54" i="2"/>
  <c r="J62" i="2"/>
  <c r="J70" i="2"/>
  <c r="J78" i="2"/>
  <c r="J86" i="2"/>
  <c r="J94" i="2"/>
  <c r="J102" i="2"/>
  <c r="J110" i="2"/>
  <c r="J118" i="2"/>
  <c r="J126" i="2"/>
  <c r="J134" i="2"/>
  <c r="I171" i="2"/>
  <c r="L171" i="2"/>
  <c r="J171" i="2"/>
  <c r="L163" i="2"/>
  <c r="L155" i="2"/>
  <c r="L147" i="2"/>
  <c r="L139" i="2"/>
  <c r="L131" i="2"/>
  <c r="L123" i="2"/>
  <c r="L115" i="2"/>
  <c r="L107" i="2"/>
  <c r="L99" i="2"/>
  <c r="L91" i="2"/>
  <c r="L83" i="2"/>
  <c r="L75" i="2"/>
  <c r="L67" i="2"/>
  <c r="L59" i="2"/>
  <c r="L51" i="2"/>
  <c r="L43" i="2"/>
  <c r="L35" i="2"/>
  <c r="L27" i="2"/>
  <c r="L19" i="2"/>
  <c r="L11" i="2"/>
  <c r="J167" i="2"/>
  <c r="J149" i="2"/>
  <c r="J119" i="2"/>
  <c r="J87" i="2"/>
  <c r="J47" i="2"/>
  <c r="K161" i="2"/>
  <c r="K99" i="2"/>
  <c r="K35" i="2"/>
  <c r="L143" i="2"/>
  <c r="L79" i="2"/>
  <c r="L15" i="2"/>
  <c r="K162" i="2"/>
  <c r="K154" i="2"/>
  <c r="K146" i="2"/>
  <c r="K138" i="2"/>
  <c r="K130" i="2"/>
  <c r="K122" i="2"/>
  <c r="K114" i="2"/>
  <c r="K106" i="2"/>
  <c r="K98" i="2"/>
  <c r="K90" i="2"/>
  <c r="K82" i="2"/>
  <c r="K74" i="2"/>
  <c r="K66" i="2"/>
  <c r="K58" i="2"/>
  <c r="K50" i="2"/>
  <c r="K42" i="2"/>
  <c r="K34" i="2"/>
  <c r="K26" i="2"/>
  <c r="K18" i="2"/>
  <c r="K10" i="2"/>
  <c r="L174" i="2"/>
  <c r="L166" i="2"/>
  <c r="L158" i="2"/>
  <c r="L150" i="2"/>
  <c r="L142" i="2"/>
  <c r="L134" i="2"/>
  <c r="L126" i="2"/>
  <c r="L118" i="2"/>
  <c r="L110" i="2"/>
  <c r="L102" i="2"/>
  <c r="L94" i="2"/>
  <c r="L86" i="2"/>
  <c r="L78" i="2"/>
  <c r="L70" i="2"/>
  <c r="L62" i="2"/>
  <c r="L54" i="2"/>
  <c r="L46" i="2"/>
  <c r="L38" i="2"/>
  <c r="L30" i="2"/>
  <c r="L22" i="2"/>
  <c r="L14" i="2"/>
  <c r="L173" i="2"/>
  <c r="L165" i="2"/>
  <c r="L157" i="2"/>
  <c r="L149" i="2"/>
  <c r="L141" i="2"/>
  <c r="L133" i="2"/>
  <c r="L125" i="2"/>
  <c r="L117" i="2"/>
  <c r="L109" i="2"/>
  <c r="L101" i="2"/>
  <c r="L93" i="2"/>
  <c r="L85" i="2"/>
  <c r="L77" i="2"/>
  <c r="L69" i="2"/>
  <c r="L61" i="2"/>
  <c r="L53" i="2"/>
  <c r="L45" i="2"/>
  <c r="L37" i="2"/>
  <c r="L29" i="2"/>
  <c r="L21" i="2"/>
  <c r="L13" i="2"/>
  <c r="J172" i="2"/>
  <c r="J164" i="2"/>
  <c r="J156" i="2"/>
  <c r="J148" i="2"/>
  <c r="J140" i="2"/>
  <c r="J132" i="2"/>
  <c r="J124" i="2"/>
  <c r="J116" i="2"/>
  <c r="J108" i="2"/>
  <c r="J100" i="2"/>
  <c r="J92" i="2"/>
  <c r="J84" i="2"/>
  <c r="J76" i="2"/>
  <c r="J68" i="2"/>
  <c r="J60" i="2"/>
  <c r="J52" i="2"/>
  <c r="J44" i="2"/>
  <c r="J36" i="2"/>
  <c r="J28" i="2"/>
  <c r="J20" i="2"/>
  <c r="J12" i="2"/>
  <c r="L172" i="2"/>
  <c r="L164" i="2"/>
  <c r="L156" i="2"/>
  <c r="L148" i="2"/>
  <c r="L140" i="2"/>
  <c r="L132" i="2"/>
  <c r="L124" i="2"/>
  <c r="L116" i="2"/>
  <c r="L108" i="2"/>
  <c r="L100" i="2"/>
  <c r="L92" i="2"/>
  <c r="L84" i="2"/>
  <c r="L76" i="2"/>
  <c r="L68" i="2"/>
  <c r="L60" i="2"/>
  <c r="L52" i="2"/>
  <c r="L44" i="2"/>
  <c r="L36" i="2"/>
  <c r="L28" i="2"/>
  <c r="L20" i="2"/>
  <c r="J163" i="2"/>
  <c r="J155" i="2"/>
  <c r="J147" i="2"/>
  <c r="J139" i="2"/>
  <c r="J131" i="2"/>
  <c r="J123" i="2"/>
  <c r="J115" i="2"/>
  <c r="J107" i="2"/>
  <c r="J99" i="2"/>
  <c r="J91" i="2"/>
  <c r="J83" i="2"/>
  <c r="J75" i="2"/>
  <c r="J67" i="2"/>
  <c r="J59" i="2"/>
  <c r="J51" i="2"/>
  <c r="J43" i="2"/>
  <c r="J35" i="2"/>
  <c r="J27" i="2"/>
  <c r="J19" i="2"/>
  <c r="J11" i="2"/>
  <c r="I12" i="2"/>
  <c r="J162" i="2"/>
  <c r="J154" i="2"/>
  <c r="J146" i="2"/>
  <c r="J138" i="2"/>
  <c r="J130" i="2"/>
  <c r="J122" i="2"/>
  <c r="J114" i="2"/>
  <c r="J106" i="2"/>
  <c r="J98" i="2"/>
  <c r="J90" i="2"/>
  <c r="J82" i="2"/>
  <c r="J74" i="2"/>
  <c r="J66" i="2"/>
  <c r="J58" i="2"/>
  <c r="J50" i="2"/>
  <c r="J42" i="2"/>
  <c r="J34" i="2"/>
  <c r="J26" i="2"/>
  <c r="J18" i="2"/>
  <c r="J10" i="2"/>
  <c r="I163" i="2"/>
  <c r="I155" i="2"/>
  <c r="I147" i="2"/>
  <c r="I139" i="2"/>
  <c r="I131" i="2"/>
  <c r="I123" i="2"/>
  <c r="I115" i="2"/>
  <c r="I107" i="2"/>
  <c r="I99" i="2"/>
  <c r="I91" i="2"/>
  <c r="I83" i="2"/>
  <c r="I75" i="2"/>
  <c r="I67" i="2"/>
  <c r="I59" i="2"/>
  <c r="I51" i="2"/>
  <c r="I43" i="2"/>
  <c r="I35" i="2"/>
  <c r="I27" i="2"/>
  <c r="I19" i="2"/>
  <c r="I11" i="2"/>
  <c r="I162" i="2"/>
  <c r="I154" i="2"/>
  <c r="I146" i="2"/>
  <c r="I138" i="2"/>
  <c r="I130" i="2"/>
  <c r="I122" i="2"/>
  <c r="I114" i="2"/>
  <c r="I106" i="2"/>
  <c r="I98" i="2"/>
  <c r="I90" i="2"/>
  <c r="I82" i="2"/>
  <c r="I74" i="2"/>
  <c r="I66" i="2"/>
  <c r="I58" i="2"/>
  <c r="I50" i="2"/>
  <c r="I42" i="2"/>
  <c r="I34" i="2"/>
  <c r="I26" i="2"/>
  <c r="I18" i="2"/>
  <c r="I10" i="2"/>
  <c r="K12" i="2"/>
  <c r="I14" i="2"/>
  <c r="I13" i="2"/>
  <c r="I168" i="2"/>
  <c r="I144" i="2"/>
  <c r="I120" i="2"/>
  <c r="I96" i="2"/>
  <c r="I72" i="2"/>
  <c r="I48" i="2"/>
  <c r="I40" i="2"/>
  <c r="I175" i="2"/>
  <c r="I151" i="2"/>
  <c r="I127" i="2"/>
  <c r="I103" i="2"/>
  <c r="I79" i="2"/>
  <c r="I55" i="2"/>
  <c r="I31" i="2"/>
  <c r="I158" i="2"/>
  <c r="I134" i="2"/>
  <c r="I110" i="2"/>
  <c r="I86" i="2"/>
  <c r="I62" i="2"/>
  <c r="I54" i="2"/>
  <c r="I46" i="2"/>
  <c r="I30" i="2"/>
  <c r="I165" i="2"/>
  <c r="I149" i="2"/>
  <c r="I125" i="2"/>
  <c r="I109" i="2"/>
  <c r="I93" i="2"/>
  <c r="I77" i="2"/>
  <c r="I29" i="2"/>
  <c r="I172" i="2"/>
  <c r="I156" i="2"/>
  <c r="I148" i="2"/>
  <c r="I132" i="2"/>
  <c r="I124" i="2"/>
  <c r="I116" i="2"/>
  <c r="I108" i="2"/>
  <c r="I100" i="2"/>
  <c r="I92" i="2"/>
  <c r="I84" i="2"/>
  <c r="I60" i="2"/>
  <c r="I52" i="2"/>
  <c r="I44" i="2"/>
  <c r="I36" i="2"/>
  <c r="I28" i="2"/>
  <c r="I20" i="2"/>
  <c r="I176" i="2"/>
  <c r="I152" i="2"/>
  <c r="I128" i="2"/>
  <c r="I104" i="2"/>
  <c r="I80" i="2"/>
  <c r="I56" i="2"/>
  <c r="I32" i="2"/>
  <c r="I159" i="2"/>
  <c r="I135" i="2"/>
  <c r="I111" i="2"/>
  <c r="I87" i="2"/>
  <c r="I63" i="2"/>
  <c r="I23" i="2"/>
  <c r="I174" i="2"/>
  <c r="I150" i="2"/>
  <c r="I126" i="2"/>
  <c r="I102" i="2"/>
  <c r="I78" i="2"/>
  <c r="I38" i="2"/>
  <c r="I173" i="2"/>
  <c r="I141" i="2"/>
  <c r="I37" i="2"/>
  <c r="I76" i="2"/>
  <c r="I7" i="2"/>
  <c r="I160" i="2"/>
  <c r="I136" i="2"/>
  <c r="I112" i="2"/>
  <c r="I88" i="2"/>
  <c r="I64" i="2"/>
  <c r="I24" i="2"/>
  <c r="I167" i="2"/>
  <c r="I143" i="2"/>
  <c r="I119" i="2"/>
  <c r="I95" i="2"/>
  <c r="I71" i="2"/>
  <c r="I47" i="2"/>
  <c r="I39" i="2"/>
  <c r="I166" i="2"/>
  <c r="I142" i="2"/>
  <c r="I118" i="2"/>
  <c r="I94" i="2"/>
  <c r="I70" i="2"/>
  <c r="I22" i="2"/>
  <c r="I157" i="2"/>
  <c r="I133" i="2"/>
  <c r="I117" i="2"/>
  <c r="I101" i="2"/>
  <c r="I85" i="2"/>
  <c r="I69" i="2"/>
  <c r="I61" i="2"/>
  <c r="I53" i="2"/>
  <c r="I45" i="2"/>
  <c r="I21" i="2"/>
  <c r="I164" i="2"/>
  <c r="I140" i="2"/>
</calcChain>
</file>

<file path=xl/sharedStrings.xml><?xml version="1.0" encoding="utf-8"?>
<sst xmlns="http://schemas.openxmlformats.org/spreadsheetml/2006/main" count="195" uniqueCount="10">
  <si>
    <t>annee</t>
  </si>
  <si>
    <t>interets</t>
  </si>
  <si>
    <t>total</t>
  </si>
  <si>
    <t>assurance</t>
  </si>
  <si>
    <t>Déblocage</t>
  </si>
  <si>
    <t>Echéance</t>
  </si>
  <si>
    <t>capital du</t>
  </si>
  <si>
    <t>capital remb</t>
  </si>
  <si>
    <t>assurance cred</t>
  </si>
  <si>
    <t>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</si>
</sst>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8F72-25AA-1A4E-AA0E-894F6CF54835}">
  <dimension ref="A1:S19"/>
  <sheetViews>
    <sheetView tabSelected="1" workbookViewId="0">
      <selection activeCell="C5" sqref="C5"/>
    </sheetView>
  </sheetViews>
  <sheetFormatPr baseColWidth="10" defaultRowHeight="16"/>
  <sheetData>
    <row r="1" spans="1:19" ht="19">
      <c r="A1" t="s">
        <v>0</v>
      </c>
      <c r="B1" s="1">
        <v>2024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  <c r="I1" s="1">
        <v>2031</v>
      </c>
      <c r="J1" s="1">
        <v>2032</v>
      </c>
      <c r="K1" s="1">
        <v>2033</v>
      </c>
      <c r="L1" s="1">
        <v>2034</v>
      </c>
      <c r="M1" s="1">
        <v>2035</v>
      </c>
      <c r="N1" s="1">
        <v>2036</v>
      </c>
      <c r="O1" s="1">
        <v>2037</v>
      </c>
      <c r="P1" s="1">
        <v>2038</v>
      </c>
      <c r="Q1" s="1">
        <v>2039</v>
      </c>
      <c r="R1" s="1">
        <v>2040</v>
      </c>
      <c r="S1" s="1">
        <v>2041</v>
      </c>
    </row>
    <row r="2" spans="1:19">
      <c r="A2" t="s">
        <v>1</v>
      </c>
      <c r="B2">
        <v>3316.97</v>
      </c>
      <c r="C2">
        <v>4769.97</v>
      </c>
      <c r="D2">
        <v>4492.95</v>
      </c>
      <c r="E2">
        <v>4203.6400000000003</v>
      </c>
      <c r="F2">
        <v>3901.4799999999996</v>
      </c>
      <c r="G2">
        <v>3585.9200000000005</v>
      </c>
      <c r="H2">
        <v>3256.35</v>
      </c>
      <c r="I2">
        <v>2912.1600000000003</v>
      </c>
      <c r="J2">
        <v>2552.6800000000003</v>
      </c>
      <c r="K2">
        <v>2177.27</v>
      </c>
      <c r="L2">
        <v>1785.19</v>
      </c>
      <c r="M2">
        <v>1375.71</v>
      </c>
      <c r="N2">
        <v>948.06000000000006</v>
      </c>
      <c r="O2">
        <v>501.45</v>
      </c>
      <c r="P2">
        <v>78.400000000000006</v>
      </c>
    </row>
    <row r="3" spans="1:19">
      <c r="A3" t="s">
        <v>9</v>
      </c>
      <c r="B3">
        <v>4507.04</v>
      </c>
      <c r="C3">
        <v>6242.31</v>
      </c>
      <c r="D3">
        <v>6519.33</v>
      </c>
      <c r="E3">
        <v>6808.6399999999994</v>
      </c>
      <c r="F3">
        <v>7110.8</v>
      </c>
      <c r="G3">
        <v>7426.3600000000006</v>
      </c>
      <c r="H3">
        <v>7755.93</v>
      </c>
      <c r="I3">
        <v>8100.119999999999</v>
      </c>
      <c r="J3">
        <v>8459.6</v>
      </c>
      <c r="K3">
        <v>8835.01</v>
      </c>
      <c r="L3">
        <v>9227.090000000002</v>
      </c>
      <c r="M3">
        <v>9636.57</v>
      </c>
      <c r="N3">
        <v>10064.219999999999</v>
      </c>
      <c r="O3">
        <v>10510.83</v>
      </c>
      <c r="P3">
        <v>5429.0700000000006</v>
      </c>
    </row>
    <row r="4" spans="1:19">
      <c r="A4" t="s">
        <v>8</v>
      </c>
      <c r="B4">
        <v>122.76</v>
      </c>
      <c r="C4">
        <v>163.83000000000001</v>
      </c>
      <c r="D4">
        <v>160.56000000000003</v>
      </c>
      <c r="E4">
        <v>156.36000000000004</v>
      </c>
      <c r="F4">
        <v>151.83000000000001</v>
      </c>
      <c r="G4">
        <v>150.63</v>
      </c>
      <c r="H4">
        <v>150.96000000000004</v>
      </c>
      <c r="I4">
        <v>147.47999999999999</v>
      </c>
      <c r="J4">
        <v>142.22999999999999</v>
      </c>
      <c r="K4">
        <v>137.01000000000002</v>
      </c>
      <c r="L4">
        <v>132.03000000000003</v>
      </c>
      <c r="M4">
        <v>124.50000000000003</v>
      </c>
      <c r="N4">
        <v>114.66000000000003</v>
      </c>
      <c r="O4">
        <v>96.149999999999977</v>
      </c>
      <c r="P4">
        <v>39.550000000000004</v>
      </c>
    </row>
    <row r="5" spans="1:19">
      <c r="A5" t="s">
        <v>2</v>
      </c>
      <c r="B5">
        <f>SUM(B2:B4)</f>
        <v>7946.77</v>
      </c>
      <c r="C5">
        <f t="shared" ref="C5:F5" si="0">SUM(C2:C4)</f>
        <v>11176.11</v>
      </c>
      <c r="D5">
        <f t="shared" si="0"/>
        <v>11172.839999999998</v>
      </c>
      <c r="E5">
        <f t="shared" si="0"/>
        <v>11168.64</v>
      </c>
      <c r="F5">
        <f t="shared" si="0"/>
        <v>11164.109999999999</v>
      </c>
      <c r="G5">
        <f t="shared" ref="G5:R5" si="1">SUM(G2:G4)</f>
        <v>11162.91</v>
      </c>
      <c r="H5">
        <f t="shared" si="1"/>
        <v>11163.240000000002</v>
      </c>
      <c r="I5">
        <f t="shared" si="1"/>
        <v>11159.759999999998</v>
      </c>
      <c r="J5">
        <f t="shared" si="1"/>
        <v>11154.51</v>
      </c>
      <c r="K5">
        <f t="shared" si="1"/>
        <v>11149.29</v>
      </c>
      <c r="L5">
        <f t="shared" si="1"/>
        <v>11144.310000000003</v>
      </c>
      <c r="M5">
        <f t="shared" si="1"/>
        <v>11136.779999999999</v>
      </c>
      <c r="N5">
        <f t="shared" si="1"/>
        <v>11126.939999999999</v>
      </c>
      <c r="O5">
        <f t="shared" si="1"/>
        <v>11108.43</v>
      </c>
      <c r="P5">
        <f t="shared" si="1"/>
        <v>5547.02</v>
      </c>
      <c r="Q5">
        <f t="shared" si="1"/>
        <v>0</v>
      </c>
      <c r="R5">
        <f t="shared" si="1"/>
        <v>0</v>
      </c>
      <c r="S5">
        <f t="shared" ref="S5" si="2">SUM(S2:S4)</f>
        <v>0</v>
      </c>
    </row>
    <row r="19" ht="17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47155-5DA5-3841-9FF9-E5898EB72124}">
  <dimension ref="A1:T178"/>
  <sheetViews>
    <sheetView workbookViewId="0">
      <selection activeCell="P1" sqref="P1:T16"/>
    </sheetView>
  </sheetViews>
  <sheetFormatPr baseColWidth="10" defaultRowHeight="16"/>
  <sheetData>
    <row r="1" spans="1:20">
      <c r="A1" s="2">
        <v>45364</v>
      </c>
      <c r="B1" t="s">
        <v>4</v>
      </c>
      <c r="C1">
        <v>0</v>
      </c>
      <c r="D1">
        <v>95000</v>
      </c>
      <c r="E1">
        <v>0</v>
      </c>
      <c r="F1">
        <v>0</v>
      </c>
      <c r="G1">
        <v>0</v>
      </c>
      <c r="P1" t="s">
        <v>0</v>
      </c>
      <c r="Q1" t="s">
        <v>2</v>
      </c>
      <c r="R1" t="s">
        <v>7</v>
      </c>
      <c r="S1" t="s">
        <v>1</v>
      </c>
      <c r="T1" t="s">
        <v>3</v>
      </c>
    </row>
    <row r="2" spans="1:20">
      <c r="A2" s="2">
        <v>45468</v>
      </c>
      <c r="B2" t="s">
        <v>4</v>
      </c>
      <c r="C2">
        <v>93513.94</v>
      </c>
      <c r="D2">
        <v>8000</v>
      </c>
      <c r="E2">
        <v>0</v>
      </c>
      <c r="F2">
        <v>0</v>
      </c>
      <c r="G2">
        <v>0</v>
      </c>
      <c r="P2">
        <v>2024</v>
      </c>
      <c r="Q2">
        <v>7946.7699999999986</v>
      </c>
      <c r="R2">
        <v>4507.04</v>
      </c>
      <c r="S2">
        <v>3316.9699999999993</v>
      </c>
      <c r="T2">
        <v>122.75999999999998</v>
      </c>
    </row>
    <row r="3" spans="1:20">
      <c r="A3" s="2">
        <v>45489</v>
      </c>
      <c r="B3" t="s">
        <v>4</v>
      </c>
      <c r="C3">
        <v>101014.99</v>
      </c>
      <c r="D3">
        <v>8800</v>
      </c>
      <c r="E3">
        <v>0</v>
      </c>
      <c r="F3">
        <v>0</v>
      </c>
      <c r="G3">
        <v>0</v>
      </c>
      <c r="P3">
        <v>2025</v>
      </c>
      <c r="Q3">
        <v>11176.109999999999</v>
      </c>
      <c r="R3">
        <v>6242.31</v>
      </c>
      <c r="S3">
        <v>4769.9699999999993</v>
      </c>
      <c r="T3">
        <v>163.83000000000001</v>
      </c>
    </row>
    <row r="4" spans="1:20">
      <c r="A4" s="2">
        <v>45504</v>
      </c>
      <c r="B4" t="s">
        <v>4</v>
      </c>
      <c r="C4">
        <v>109814.99</v>
      </c>
      <c r="D4">
        <v>4400</v>
      </c>
      <c r="E4">
        <v>0</v>
      </c>
      <c r="F4">
        <v>0</v>
      </c>
      <c r="G4">
        <v>0</v>
      </c>
      <c r="P4">
        <v>2026</v>
      </c>
      <c r="Q4">
        <v>11172.840000000002</v>
      </c>
      <c r="R4">
        <v>6519.33</v>
      </c>
      <c r="S4">
        <v>4492.95</v>
      </c>
      <c r="T4">
        <v>160.56000000000003</v>
      </c>
    </row>
    <row r="5" spans="1:20">
      <c r="A5" s="2">
        <v>45629</v>
      </c>
      <c r="B5" t="s">
        <v>4</v>
      </c>
      <c r="C5">
        <v>112201.02</v>
      </c>
      <c r="D5">
        <v>800</v>
      </c>
      <c r="E5">
        <v>0</v>
      </c>
      <c r="F5">
        <v>0</v>
      </c>
      <c r="G5">
        <v>0</v>
      </c>
      <c r="P5">
        <v>2027</v>
      </c>
      <c r="Q5">
        <v>11168.640000000003</v>
      </c>
      <c r="R5">
        <v>6808.6399999999994</v>
      </c>
      <c r="S5">
        <v>4203.6400000000003</v>
      </c>
      <c r="T5">
        <v>156.36000000000004</v>
      </c>
    </row>
    <row r="6" spans="1:20">
      <c r="A6" s="2"/>
      <c r="C6" t="s">
        <v>6</v>
      </c>
      <c r="D6" t="s">
        <v>7</v>
      </c>
      <c r="E6" t="s">
        <v>1</v>
      </c>
      <c r="F6" t="s">
        <v>3</v>
      </c>
      <c r="I6" t="s">
        <v>2</v>
      </c>
      <c r="J6" t="s">
        <v>7</v>
      </c>
      <c r="K6" t="s">
        <v>1</v>
      </c>
      <c r="L6" t="s">
        <v>3</v>
      </c>
      <c r="P6">
        <v>2028</v>
      </c>
      <c r="Q6">
        <v>11164.11</v>
      </c>
      <c r="R6">
        <v>7110.8</v>
      </c>
      <c r="S6">
        <v>3901.4799999999996</v>
      </c>
      <c r="T6">
        <v>151.83000000000001</v>
      </c>
    </row>
    <row r="7" spans="1:20">
      <c r="A7" s="2">
        <v>45391</v>
      </c>
      <c r="B7" t="s">
        <v>5</v>
      </c>
      <c r="C7">
        <v>95000</v>
      </c>
      <c r="D7">
        <v>493.56</v>
      </c>
      <c r="E7">
        <v>260.39999999999998</v>
      </c>
      <c r="F7">
        <v>10.6</v>
      </c>
      <c r="G7">
        <v>764.56</v>
      </c>
      <c r="H7">
        <f>YEAR(A7)</f>
        <v>2024</v>
      </c>
      <c r="I7">
        <f t="shared" ref="I7:I38" si="0">SUMIF(H:H,H7,G:G)</f>
        <v>7946.7699999999986</v>
      </c>
      <c r="J7">
        <f>SUMIF(H:H,H7,D:D)</f>
        <v>4507.04</v>
      </c>
      <c r="K7">
        <f>SUMIF(H:H,H7,E:E)</f>
        <v>3316.9699999999993</v>
      </c>
      <c r="L7">
        <f>SUMIF(H:H,H7,F:F)</f>
        <v>122.75999999999998</v>
      </c>
      <c r="P7">
        <v>2029</v>
      </c>
      <c r="Q7">
        <v>11162.909999999998</v>
      </c>
      <c r="R7">
        <v>7426.3600000000006</v>
      </c>
      <c r="S7">
        <v>3585.9200000000005</v>
      </c>
      <c r="T7">
        <v>150.63</v>
      </c>
    </row>
    <row r="8" spans="1:20">
      <c r="A8" s="2">
        <v>45417</v>
      </c>
      <c r="B8" t="s">
        <v>5</v>
      </c>
      <c r="C8">
        <v>94506.44</v>
      </c>
      <c r="D8">
        <v>495.35</v>
      </c>
      <c r="E8">
        <v>342.59</v>
      </c>
      <c r="F8">
        <v>14.02</v>
      </c>
      <c r="G8">
        <v>851.96</v>
      </c>
      <c r="H8">
        <f t="shared" ref="H8:H71" si="1">YEAR(A8)</f>
        <v>2024</v>
      </c>
      <c r="I8">
        <f t="shared" si="0"/>
        <v>7946.7699999999986</v>
      </c>
      <c r="J8">
        <f t="shared" ref="J8:J71" si="2">SUMIF(H:H,H8,D:D)</f>
        <v>4507.04</v>
      </c>
      <c r="K8">
        <f t="shared" ref="K8:K71" si="3">SUMIF(H:H,H8,E:E)</f>
        <v>3316.9699999999993</v>
      </c>
      <c r="L8">
        <f t="shared" ref="L8:L71" si="4">SUMIF(H:H,H8,F:F)</f>
        <v>122.75999999999998</v>
      </c>
      <c r="P8">
        <v>2030</v>
      </c>
      <c r="Q8">
        <v>11163.240000000002</v>
      </c>
      <c r="R8">
        <v>7755.93</v>
      </c>
      <c r="S8">
        <v>3256.35</v>
      </c>
      <c r="T8">
        <v>150.96000000000004</v>
      </c>
    </row>
    <row r="9" spans="1:20">
      <c r="A9" s="2">
        <v>45448</v>
      </c>
      <c r="B9" t="s">
        <v>5</v>
      </c>
      <c r="C9">
        <v>94011.09</v>
      </c>
      <c r="D9">
        <v>497.15</v>
      </c>
      <c r="E9">
        <v>340.79</v>
      </c>
      <c r="F9">
        <v>14.02</v>
      </c>
      <c r="G9">
        <v>851.96</v>
      </c>
      <c r="H9">
        <f t="shared" si="1"/>
        <v>2024</v>
      </c>
      <c r="I9">
        <f t="shared" si="0"/>
        <v>7946.7699999999986</v>
      </c>
      <c r="J9">
        <f t="shared" si="2"/>
        <v>4507.04</v>
      </c>
      <c r="K9">
        <f t="shared" si="3"/>
        <v>3316.9699999999993</v>
      </c>
      <c r="L9">
        <f t="shared" si="4"/>
        <v>122.75999999999998</v>
      </c>
      <c r="P9">
        <v>2031</v>
      </c>
      <c r="Q9">
        <v>11159.759999999998</v>
      </c>
      <c r="R9">
        <v>8100.119999999999</v>
      </c>
      <c r="S9">
        <v>2912.1600000000003</v>
      </c>
      <c r="T9">
        <v>147.47999999999999</v>
      </c>
    </row>
    <row r="10" spans="1:20">
      <c r="A10" s="2">
        <v>45478</v>
      </c>
      <c r="B10" t="s">
        <v>5</v>
      </c>
      <c r="C10">
        <v>101513.94</v>
      </c>
      <c r="D10">
        <v>498.95</v>
      </c>
      <c r="E10">
        <v>343.88</v>
      </c>
      <c r="F10">
        <v>14.02</v>
      </c>
      <c r="G10">
        <v>856.85</v>
      </c>
      <c r="H10">
        <f t="shared" si="1"/>
        <v>2024</v>
      </c>
      <c r="I10">
        <f t="shared" si="0"/>
        <v>7946.7699999999986</v>
      </c>
      <c r="J10">
        <f t="shared" si="2"/>
        <v>4507.04</v>
      </c>
      <c r="K10">
        <f t="shared" si="3"/>
        <v>3316.9699999999993</v>
      </c>
      <c r="L10">
        <f t="shared" si="4"/>
        <v>122.75999999999998</v>
      </c>
      <c r="P10">
        <v>2032</v>
      </c>
      <c r="Q10">
        <v>11154.510000000002</v>
      </c>
      <c r="R10">
        <v>8459.6</v>
      </c>
      <c r="S10">
        <v>2552.6800000000003</v>
      </c>
      <c r="T10">
        <v>142.22999999999999</v>
      </c>
    </row>
    <row r="11" spans="1:20">
      <c r="A11" s="2">
        <v>45509</v>
      </c>
      <c r="B11" t="s">
        <v>5</v>
      </c>
      <c r="C11">
        <v>114214.99</v>
      </c>
      <c r="D11">
        <v>500.76</v>
      </c>
      <c r="E11">
        <v>396.8</v>
      </c>
      <c r="F11">
        <v>14.02</v>
      </c>
      <c r="G11">
        <v>911.58</v>
      </c>
      <c r="H11">
        <f t="shared" si="1"/>
        <v>2024</v>
      </c>
      <c r="I11">
        <f t="shared" si="0"/>
        <v>7946.7699999999986</v>
      </c>
      <c r="J11">
        <f t="shared" si="2"/>
        <v>4507.04</v>
      </c>
      <c r="K11">
        <f t="shared" si="3"/>
        <v>3316.9699999999993</v>
      </c>
      <c r="L11">
        <f t="shared" si="4"/>
        <v>122.75999999999998</v>
      </c>
      <c r="P11">
        <v>2033</v>
      </c>
      <c r="Q11">
        <v>11149.29</v>
      </c>
      <c r="R11">
        <v>8835.01</v>
      </c>
      <c r="S11">
        <v>2177.27</v>
      </c>
      <c r="T11">
        <v>137.01000000000002</v>
      </c>
    </row>
    <row r="12" spans="1:20">
      <c r="A12" s="2">
        <v>45540</v>
      </c>
      <c r="B12" t="s">
        <v>5</v>
      </c>
      <c r="C12">
        <v>113714.23</v>
      </c>
      <c r="D12">
        <v>502.58</v>
      </c>
      <c r="E12">
        <v>412.21</v>
      </c>
      <c r="F12">
        <v>14.02</v>
      </c>
      <c r="G12">
        <v>928.81</v>
      </c>
      <c r="H12">
        <f t="shared" si="1"/>
        <v>2024</v>
      </c>
      <c r="I12">
        <f t="shared" si="0"/>
        <v>7946.7699999999986</v>
      </c>
      <c r="J12">
        <f t="shared" si="2"/>
        <v>4507.04</v>
      </c>
      <c r="K12">
        <f t="shared" si="3"/>
        <v>3316.9699999999993</v>
      </c>
      <c r="L12">
        <f t="shared" si="4"/>
        <v>122.75999999999998</v>
      </c>
      <c r="P12">
        <v>2034</v>
      </c>
      <c r="Q12">
        <v>11144.310000000001</v>
      </c>
      <c r="R12">
        <v>9227.090000000002</v>
      </c>
      <c r="S12">
        <v>1785.19</v>
      </c>
      <c r="T12">
        <v>132.03000000000003</v>
      </c>
    </row>
    <row r="13" spans="1:20">
      <c r="A13" s="2">
        <v>45570</v>
      </c>
      <c r="B13" t="s">
        <v>5</v>
      </c>
      <c r="C13">
        <v>113211.65</v>
      </c>
      <c r="D13">
        <v>504.4</v>
      </c>
      <c r="E13">
        <v>410.39</v>
      </c>
      <c r="F13">
        <v>14.02</v>
      </c>
      <c r="G13">
        <v>928.81</v>
      </c>
      <c r="H13">
        <f t="shared" si="1"/>
        <v>2024</v>
      </c>
      <c r="I13">
        <f t="shared" si="0"/>
        <v>7946.7699999999986</v>
      </c>
      <c r="J13">
        <f t="shared" si="2"/>
        <v>4507.04</v>
      </c>
      <c r="K13">
        <f t="shared" si="3"/>
        <v>3316.9699999999993</v>
      </c>
      <c r="L13">
        <f t="shared" si="4"/>
        <v>122.75999999999998</v>
      </c>
      <c r="P13">
        <v>2035</v>
      </c>
      <c r="Q13">
        <v>11136.779999999999</v>
      </c>
      <c r="R13">
        <v>9636.57</v>
      </c>
      <c r="S13">
        <v>1375.71</v>
      </c>
      <c r="T13">
        <v>124.50000000000003</v>
      </c>
    </row>
    <row r="14" spans="1:20">
      <c r="A14" s="2">
        <v>45601</v>
      </c>
      <c r="B14" t="s">
        <v>5</v>
      </c>
      <c r="C14">
        <v>112707.25</v>
      </c>
      <c r="D14">
        <v>506.23</v>
      </c>
      <c r="E14">
        <v>408.56</v>
      </c>
      <c r="F14">
        <v>14.02</v>
      </c>
      <c r="G14">
        <v>928.81</v>
      </c>
      <c r="H14">
        <f t="shared" si="1"/>
        <v>2024</v>
      </c>
      <c r="I14">
        <f t="shared" si="0"/>
        <v>7946.7699999999986</v>
      </c>
      <c r="J14">
        <f t="shared" si="2"/>
        <v>4507.04</v>
      </c>
      <c r="K14">
        <f t="shared" si="3"/>
        <v>3316.9699999999993</v>
      </c>
      <c r="L14">
        <f t="shared" si="4"/>
        <v>122.75999999999998</v>
      </c>
      <c r="P14">
        <v>2036</v>
      </c>
      <c r="Q14">
        <v>11126.94</v>
      </c>
      <c r="R14">
        <v>10064.219999999999</v>
      </c>
      <c r="S14">
        <v>948.06000000000006</v>
      </c>
      <c r="T14">
        <v>114.66000000000003</v>
      </c>
    </row>
    <row r="15" spans="1:20">
      <c r="A15" s="2">
        <v>45631</v>
      </c>
      <c r="B15" t="s">
        <v>5</v>
      </c>
      <c r="C15">
        <v>113001.02</v>
      </c>
      <c r="D15">
        <v>508.06</v>
      </c>
      <c r="E15">
        <v>401.35</v>
      </c>
      <c r="F15">
        <v>14.02</v>
      </c>
      <c r="G15">
        <v>923.43</v>
      </c>
      <c r="H15">
        <f t="shared" si="1"/>
        <v>2024</v>
      </c>
      <c r="I15">
        <f t="shared" si="0"/>
        <v>7946.7699999999986</v>
      </c>
      <c r="J15">
        <f t="shared" si="2"/>
        <v>4507.04</v>
      </c>
      <c r="K15">
        <f t="shared" si="3"/>
        <v>3316.9699999999993</v>
      </c>
      <c r="L15">
        <f t="shared" si="4"/>
        <v>122.75999999999998</v>
      </c>
      <c r="P15">
        <v>2037</v>
      </c>
      <c r="Q15">
        <v>11108.430000000002</v>
      </c>
      <c r="R15">
        <v>10510.83</v>
      </c>
      <c r="S15">
        <v>501.45</v>
      </c>
      <c r="T15">
        <v>96.149999999999977</v>
      </c>
    </row>
    <row r="16" spans="1:20">
      <c r="A16" s="2">
        <v>45662</v>
      </c>
      <c r="B16" t="s">
        <v>5</v>
      </c>
      <c r="C16">
        <v>112492.96</v>
      </c>
      <c r="D16">
        <v>509.9</v>
      </c>
      <c r="E16">
        <v>407.79</v>
      </c>
      <c r="F16">
        <v>14.02</v>
      </c>
      <c r="G16">
        <v>931.71</v>
      </c>
      <c r="H16">
        <f t="shared" si="1"/>
        <v>2025</v>
      </c>
      <c r="I16">
        <f t="shared" si="0"/>
        <v>11176.109999999999</v>
      </c>
      <c r="J16">
        <f t="shared" si="2"/>
        <v>6242.31</v>
      </c>
      <c r="K16">
        <f t="shared" si="3"/>
        <v>4769.9699999999993</v>
      </c>
      <c r="L16">
        <f t="shared" si="4"/>
        <v>163.83000000000001</v>
      </c>
      <c r="P16">
        <v>2038</v>
      </c>
      <c r="Q16">
        <v>5547.0199999999995</v>
      </c>
      <c r="R16">
        <v>5429.0700000000006</v>
      </c>
      <c r="S16">
        <v>78.400000000000006</v>
      </c>
      <c r="T16">
        <v>39.550000000000004</v>
      </c>
    </row>
    <row r="17" spans="1:12">
      <c r="A17" s="2">
        <v>45693</v>
      </c>
      <c r="B17" t="s">
        <v>5</v>
      </c>
      <c r="C17">
        <v>111983.06</v>
      </c>
      <c r="D17">
        <v>511.75</v>
      </c>
      <c r="E17">
        <v>405.94</v>
      </c>
      <c r="F17">
        <v>14.02</v>
      </c>
      <c r="G17">
        <v>931.71</v>
      </c>
      <c r="H17">
        <f t="shared" si="1"/>
        <v>2025</v>
      </c>
      <c r="I17">
        <f t="shared" si="0"/>
        <v>11176.109999999999</v>
      </c>
      <c r="J17">
        <f t="shared" si="2"/>
        <v>6242.31</v>
      </c>
      <c r="K17">
        <f t="shared" si="3"/>
        <v>4769.9699999999993</v>
      </c>
      <c r="L17">
        <f t="shared" si="4"/>
        <v>163.83000000000001</v>
      </c>
    </row>
    <row r="18" spans="1:12">
      <c r="A18" s="2">
        <v>45721</v>
      </c>
      <c r="B18" t="s">
        <v>5</v>
      </c>
      <c r="C18">
        <v>111471.31</v>
      </c>
      <c r="D18">
        <v>513.61</v>
      </c>
      <c r="E18">
        <v>404.08</v>
      </c>
      <c r="F18">
        <v>14.02</v>
      </c>
      <c r="G18">
        <v>931.71</v>
      </c>
      <c r="H18">
        <f t="shared" si="1"/>
        <v>2025</v>
      </c>
      <c r="I18">
        <f t="shared" si="0"/>
        <v>11176.109999999999</v>
      </c>
      <c r="J18">
        <f t="shared" si="2"/>
        <v>6242.31</v>
      </c>
      <c r="K18">
        <f t="shared" si="3"/>
        <v>4769.9699999999993</v>
      </c>
      <c r="L18">
        <f t="shared" si="4"/>
        <v>163.83000000000001</v>
      </c>
    </row>
    <row r="19" spans="1:12">
      <c r="A19" s="2">
        <v>45752</v>
      </c>
      <c r="B19" t="s">
        <v>5</v>
      </c>
      <c r="C19">
        <v>110957.7</v>
      </c>
      <c r="D19">
        <v>515.47</v>
      </c>
      <c r="E19">
        <v>402.22</v>
      </c>
      <c r="F19">
        <v>13.53</v>
      </c>
      <c r="G19">
        <v>931.22</v>
      </c>
      <c r="H19">
        <f t="shared" si="1"/>
        <v>2025</v>
      </c>
      <c r="I19">
        <f t="shared" si="0"/>
        <v>11176.109999999999</v>
      </c>
      <c r="J19">
        <f t="shared" si="2"/>
        <v>6242.31</v>
      </c>
      <c r="K19">
        <f t="shared" si="3"/>
        <v>4769.9699999999993</v>
      </c>
      <c r="L19">
        <f t="shared" si="4"/>
        <v>163.83000000000001</v>
      </c>
    </row>
    <row r="20" spans="1:12">
      <c r="A20" s="2">
        <v>45782</v>
      </c>
      <c r="B20" t="s">
        <v>5</v>
      </c>
      <c r="C20">
        <v>110442.23</v>
      </c>
      <c r="D20">
        <v>517.34</v>
      </c>
      <c r="E20">
        <v>400.35</v>
      </c>
      <c r="F20">
        <v>13.53</v>
      </c>
      <c r="G20">
        <v>931.22</v>
      </c>
      <c r="H20">
        <f t="shared" si="1"/>
        <v>2025</v>
      </c>
      <c r="I20">
        <f t="shared" si="0"/>
        <v>11176.109999999999</v>
      </c>
      <c r="J20">
        <f t="shared" si="2"/>
        <v>6242.31</v>
      </c>
      <c r="K20">
        <f t="shared" si="3"/>
        <v>4769.9699999999993</v>
      </c>
      <c r="L20">
        <f t="shared" si="4"/>
        <v>163.83000000000001</v>
      </c>
    </row>
    <row r="21" spans="1:12">
      <c r="A21" s="2">
        <v>45813</v>
      </c>
      <c r="B21" t="s">
        <v>5</v>
      </c>
      <c r="C21">
        <v>109924.89</v>
      </c>
      <c r="D21">
        <v>519.21</v>
      </c>
      <c r="E21">
        <v>398.48</v>
      </c>
      <c r="F21">
        <v>13.53</v>
      </c>
      <c r="G21">
        <v>931.22</v>
      </c>
      <c r="H21">
        <f t="shared" si="1"/>
        <v>2025</v>
      </c>
      <c r="I21">
        <f t="shared" si="0"/>
        <v>11176.109999999999</v>
      </c>
      <c r="J21">
        <f t="shared" si="2"/>
        <v>6242.31</v>
      </c>
      <c r="K21">
        <f t="shared" si="3"/>
        <v>4769.9699999999993</v>
      </c>
      <c r="L21">
        <f t="shared" si="4"/>
        <v>163.83000000000001</v>
      </c>
    </row>
    <row r="22" spans="1:12">
      <c r="A22" s="2">
        <v>45843</v>
      </c>
      <c r="B22" t="s">
        <v>5</v>
      </c>
      <c r="C22">
        <v>109405.68</v>
      </c>
      <c r="D22">
        <v>521.09</v>
      </c>
      <c r="E22">
        <v>396.6</v>
      </c>
      <c r="F22">
        <v>13.53</v>
      </c>
      <c r="G22">
        <v>931.22</v>
      </c>
      <c r="H22">
        <f t="shared" si="1"/>
        <v>2025</v>
      </c>
      <c r="I22">
        <f t="shared" si="0"/>
        <v>11176.109999999999</v>
      </c>
      <c r="J22">
        <f t="shared" si="2"/>
        <v>6242.31</v>
      </c>
      <c r="K22">
        <f t="shared" si="3"/>
        <v>4769.9699999999993</v>
      </c>
      <c r="L22">
        <f t="shared" si="4"/>
        <v>163.83000000000001</v>
      </c>
    </row>
    <row r="23" spans="1:12">
      <c r="A23" s="2">
        <v>45874</v>
      </c>
      <c r="B23" t="s">
        <v>5</v>
      </c>
      <c r="C23">
        <v>108884.59</v>
      </c>
      <c r="D23">
        <v>522.98</v>
      </c>
      <c r="E23">
        <v>394.71</v>
      </c>
      <c r="F23">
        <v>13.53</v>
      </c>
      <c r="G23">
        <v>931.22</v>
      </c>
      <c r="H23">
        <f t="shared" si="1"/>
        <v>2025</v>
      </c>
      <c r="I23">
        <f t="shared" si="0"/>
        <v>11176.109999999999</v>
      </c>
      <c r="J23">
        <f t="shared" si="2"/>
        <v>6242.31</v>
      </c>
      <c r="K23">
        <f t="shared" si="3"/>
        <v>4769.9699999999993</v>
      </c>
      <c r="L23">
        <f t="shared" si="4"/>
        <v>163.83000000000001</v>
      </c>
    </row>
    <row r="24" spans="1:12">
      <c r="A24" s="2">
        <v>45905</v>
      </c>
      <c r="B24" t="s">
        <v>5</v>
      </c>
      <c r="C24">
        <v>108361.61</v>
      </c>
      <c r="D24">
        <v>524.88</v>
      </c>
      <c r="E24">
        <v>392.81</v>
      </c>
      <c r="F24">
        <v>13.53</v>
      </c>
      <c r="G24">
        <v>931.22</v>
      </c>
      <c r="H24">
        <f t="shared" si="1"/>
        <v>2025</v>
      </c>
      <c r="I24">
        <f t="shared" si="0"/>
        <v>11176.109999999999</v>
      </c>
      <c r="J24">
        <f t="shared" si="2"/>
        <v>6242.31</v>
      </c>
      <c r="K24">
        <f t="shared" si="3"/>
        <v>4769.9699999999993</v>
      </c>
      <c r="L24">
        <f t="shared" si="4"/>
        <v>163.83000000000001</v>
      </c>
    </row>
    <row r="25" spans="1:12">
      <c r="A25" s="2">
        <v>45935</v>
      </c>
      <c r="B25" t="s">
        <v>5</v>
      </c>
      <c r="C25">
        <v>107836.73</v>
      </c>
      <c r="D25">
        <v>526.78</v>
      </c>
      <c r="E25">
        <v>390.91</v>
      </c>
      <c r="F25">
        <v>13.53</v>
      </c>
      <c r="G25">
        <v>931.22</v>
      </c>
      <c r="H25">
        <f t="shared" si="1"/>
        <v>2025</v>
      </c>
      <c r="I25">
        <f t="shared" si="0"/>
        <v>11176.109999999999</v>
      </c>
      <c r="J25">
        <f t="shared" si="2"/>
        <v>6242.31</v>
      </c>
      <c r="K25">
        <f t="shared" si="3"/>
        <v>4769.9699999999993</v>
      </c>
      <c r="L25">
        <f t="shared" si="4"/>
        <v>163.83000000000001</v>
      </c>
    </row>
    <row r="26" spans="1:12">
      <c r="A26" s="2">
        <v>45966</v>
      </c>
      <c r="B26" t="s">
        <v>5</v>
      </c>
      <c r="C26">
        <v>107309.95</v>
      </c>
      <c r="D26">
        <v>528.69000000000005</v>
      </c>
      <c r="E26">
        <v>389</v>
      </c>
      <c r="F26">
        <v>13.53</v>
      </c>
      <c r="G26">
        <v>931.22</v>
      </c>
      <c r="H26">
        <f t="shared" si="1"/>
        <v>2025</v>
      </c>
      <c r="I26">
        <f t="shared" si="0"/>
        <v>11176.109999999999</v>
      </c>
      <c r="J26">
        <f t="shared" si="2"/>
        <v>6242.31</v>
      </c>
      <c r="K26">
        <f t="shared" si="3"/>
        <v>4769.9699999999993</v>
      </c>
      <c r="L26">
        <f t="shared" si="4"/>
        <v>163.83000000000001</v>
      </c>
    </row>
    <row r="27" spans="1:12">
      <c r="A27" s="2">
        <v>45996</v>
      </c>
      <c r="B27" t="s">
        <v>5</v>
      </c>
      <c r="C27">
        <v>106781.26</v>
      </c>
      <c r="D27">
        <v>530.61</v>
      </c>
      <c r="E27">
        <v>387.08</v>
      </c>
      <c r="F27">
        <v>13.53</v>
      </c>
      <c r="G27">
        <v>931.22</v>
      </c>
      <c r="H27">
        <f t="shared" si="1"/>
        <v>2025</v>
      </c>
      <c r="I27">
        <f t="shared" si="0"/>
        <v>11176.109999999999</v>
      </c>
      <c r="J27">
        <f t="shared" si="2"/>
        <v>6242.31</v>
      </c>
      <c r="K27">
        <f t="shared" si="3"/>
        <v>4769.9699999999993</v>
      </c>
      <c r="L27">
        <f t="shared" si="4"/>
        <v>163.83000000000001</v>
      </c>
    </row>
    <row r="28" spans="1:12">
      <c r="A28" s="2">
        <v>46027</v>
      </c>
      <c r="B28" t="s">
        <v>5</v>
      </c>
      <c r="C28">
        <v>106250.65</v>
      </c>
      <c r="D28">
        <v>532.53</v>
      </c>
      <c r="E28">
        <v>385.16</v>
      </c>
      <c r="F28">
        <v>13.53</v>
      </c>
      <c r="G28">
        <v>931.22</v>
      </c>
      <c r="H28">
        <f t="shared" si="1"/>
        <v>2026</v>
      </c>
      <c r="I28">
        <f t="shared" si="0"/>
        <v>11172.840000000002</v>
      </c>
      <c r="J28">
        <f t="shared" si="2"/>
        <v>6519.33</v>
      </c>
      <c r="K28">
        <f t="shared" si="3"/>
        <v>4492.95</v>
      </c>
      <c r="L28">
        <f t="shared" si="4"/>
        <v>160.56000000000003</v>
      </c>
    </row>
    <row r="29" spans="1:12">
      <c r="A29" s="2">
        <v>46058</v>
      </c>
      <c r="B29" t="s">
        <v>5</v>
      </c>
      <c r="C29">
        <v>105718.12</v>
      </c>
      <c r="D29">
        <v>534.46</v>
      </c>
      <c r="E29">
        <v>383.23</v>
      </c>
      <c r="F29">
        <v>13.53</v>
      </c>
      <c r="G29">
        <v>931.22</v>
      </c>
      <c r="H29">
        <f t="shared" si="1"/>
        <v>2026</v>
      </c>
      <c r="I29">
        <f t="shared" si="0"/>
        <v>11172.840000000002</v>
      </c>
      <c r="J29">
        <f t="shared" si="2"/>
        <v>6519.33</v>
      </c>
      <c r="K29">
        <f t="shared" si="3"/>
        <v>4492.95</v>
      </c>
      <c r="L29">
        <f t="shared" si="4"/>
        <v>160.56000000000003</v>
      </c>
    </row>
    <row r="30" spans="1:12">
      <c r="A30" s="2">
        <v>46086</v>
      </c>
      <c r="B30" t="s">
        <v>5</v>
      </c>
      <c r="C30">
        <v>105183.66</v>
      </c>
      <c r="D30">
        <v>536.4</v>
      </c>
      <c r="E30">
        <v>381.29</v>
      </c>
      <c r="F30">
        <v>13.53</v>
      </c>
      <c r="G30">
        <v>931.22</v>
      </c>
      <c r="H30">
        <f t="shared" si="1"/>
        <v>2026</v>
      </c>
      <c r="I30">
        <f t="shared" si="0"/>
        <v>11172.840000000002</v>
      </c>
      <c r="J30">
        <f t="shared" si="2"/>
        <v>6519.33</v>
      </c>
      <c r="K30">
        <f t="shared" si="3"/>
        <v>4492.95</v>
      </c>
      <c r="L30">
        <f t="shared" si="4"/>
        <v>160.56000000000003</v>
      </c>
    </row>
    <row r="31" spans="1:12">
      <c r="A31" s="2">
        <v>46117</v>
      </c>
      <c r="B31" t="s">
        <v>5</v>
      </c>
      <c r="C31">
        <v>104647.26</v>
      </c>
      <c r="D31">
        <v>538.34</v>
      </c>
      <c r="E31">
        <v>379.35</v>
      </c>
      <c r="F31">
        <v>13.33</v>
      </c>
      <c r="G31">
        <v>931.02</v>
      </c>
      <c r="H31">
        <f t="shared" si="1"/>
        <v>2026</v>
      </c>
      <c r="I31">
        <f t="shared" si="0"/>
        <v>11172.840000000002</v>
      </c>
      <c r="J31">
        <f t="shared" si="2"/>
        <v>6519.33</v>
      </c>
      <c r="K31">
        <f t="shared" si="3"/>
        <v>4492.95</v>
      </c>
      <c r="L31">
        <f t="shared" si="4"/>
        <v>160.56000000000003</v>
      </c>
    </row>
    <row r="32" spans="1:12">
      <c r="A32" s="2">
        <v>46147</v>
      </c>
      <c r="B32" t="s">
        <v>5</v>
      </c>
      <c r="C32">
        <v>104108.92</v>
      </c>
      <c r="D32">
        <v>540.29999999999995</v>
      </c>
      <c r="E32">
        <v>377.39</v>
      </c>
      <c r="F32">
        <v>13.33</v>
      </c>
      <c r="G32">
        <v>931.02</v>
      </c>
      <c r="H32">
        <f t="shared" si="1"/>
        <v>2026</v>
      </c>
      <c r="I32">
        <f t="shared" si="0"/>
        <v>11172.840000000002</v>
      </c>
      <c r="J32">
        <f t="shared" si="2"/>
        <v>6519.33</v>
      </c>
      <c r="K32">
        <f t="shared" si="3"/>
        <v>4492.95</v>
      </c>
      <c r="L32">
        <f t="shared" si="4"/>
        <v>160.56000000000003</v>
      </c>
    </row>
    <row r="33" spans="1:12">
      <c r="A33" s="2">
        <v>46178</v>
      </c>
      <c r="B33" t="s">
        <v>5</v>
      </c>
      <c r="C33">
        <v>103568.62</v>
      </c>
      <c r="D33">
        <v>542.25</v>
      </c>
      <c r="E33">
        <v>375.44</v>
      </c>
      <c r="F33">
        <v>13.33</v>
      </c>
      <c r="G33">
        <v>931.02</v>
      </c>
      <c r="H33">
        <f t="shared" si="1"/>
        <v>2026</v>
      </c>
      <c r="I33">
        <f t="shared" si="0"/>
        <v>11172.840000000002</v>
      </c>
      <c r="J33">
        <f t="shared" si="2"/>
        <v>6519.33</v>
      </c>
      <c r="K33">
        <f t="shared" si="3"/>
        <v>4492.95</v>
      </c>
      <c r="L33">
        <f t="shared" si="4"/>
        <v>160.56000000000003</v>
      </c>
    </row>
    <row r="34" spans="1:12">
      <c r="A34" s="2">
        <v>46208</v>
      </c>
      <c r="B34" t="s">
        <v>5</v>
      </c>
      <c r="C34">
        <v>103026.37</v>
      </c>
      <c r="D34">
        <v>544.22</v>
      </c>
      <c r="E34">
        <v>373.47</v>
      </c>
      <c r="F34">
        <v>13.33</v>
      </c>
      <c r="G34">
        <v>931.02</v>
      </c>
      <c r="H34">
        <f t="shared" si="1"/>
        <v>2026</v>
      </c>
      <c r="I34">
        <f t="shared" si="0"/>
        <v>11172.840000000002</v>
      </c>
      <c r="J34">
        <f t="shared" si="2"/>
        <v>6519.33</v>
      </c>
      <c r="K34">
        <f t="shared" si="3"/>
        <v>4492.95</v>
      </c>
      <c r="L34">
        <f t="shared" si="4"/>
        <v>160.56000000000003</v>
      </c>
    </row>
    <row r="35" spans="1:12">
      <c r="A35" s="2">
        <v>46239</v>
      </c>
      <c r="B35" t="s">
        <v>5</v>
      </c>
      <c r="C35">
        <v>102482.15</v>
      </c>
      <c r="D35">
        <v>546.19000000000005</v>
      </c>
      <c r="E35">
        <v>371.5</v>
      </c>
      <c r="F35">
        <v>13.33</v>
      </c>
      <c r="G35">
        <v>931.02</v>
      </c>
      <c r="H35">
        <f t="shared" si="1"/>
        <v>2026</v>
      </c>
      <c r="I35">
        <f t="shared" si="0"/>
        <v>11172.840000000002</v>
      </c>
      <c r="J35">
        <f t="shared" si="2"/>
        <v>6519.33</v>
      </c>
      <c r="K35">
        <f t="shared" si="3"/>
        <v>4492.95</v>
      </c>
      <c r="L35">
        <f t="shared" si="4"/>
        <v>160.56000000000003</v>
      </c>
    </row>
    <row r="36" spans="1:12">
      <c r="A36" s="2">
        <v>46270</v>
      </c>
      <c r="B36" t="s">
        <v>5</v>
      </c>
      <c r="C36">
        <v>101935.96</v>
      </c>
      <c r="D36">
        <v>548.16999999999996</v>
      </c>
      <c r="E36">
        <v>369.52</v>
      </c>
      <c r="F36">
        <v>13.33</v>
      </c>
      <c r="G36">
        <v>931.02</v>
      </c>
      <c r="H36">
        <f t="shared" si="1"/>
        <v>2026</v>
      </c>
      <c r="I36">
        <f t="shared" si="0"/>
        <v>11172.840000000002</v>
      </c>
      <c r="J36">
        <f t="shared" si="2"/>
        <v>6519.33</v>
      </c>
      <c r="K36">
        <f t="shared" si="3"/>
        <v>4492.95</v>
      </c>
      <c r="L36">
        <f t="shared" si="4"/>
        <v>160.56000000000003</v>
      </c>
    </row>
    <row r="37" spans="1:12">
      <c r="A37" s="2">
        <v>46300</v>
      </c>
      <c r="B37" t="s">
        <v>5</v>
      </c>
      <c r="C37">
        <v>101387.79</v>
      </c>
      <c r="D37">
        <v>550.16</v>
      </c>
      <c r="E37">
        <v>367.53</v>
      </c>
      <c r="F37">
        <v>13.33</v>
      </c>
      <c r="G37">
        <v>931.02</v>
      </c>
      <c r="H37">
        <f t="shared" si="1"/>
        <v>2026</v>
      </c>
      <c r="I37">
        <f t="shared" si="0"/>
        <v>11172.840000000002</v>
      </c>
      <c r="J37">
        <f t="shared" si="2"/>
        <v>6519.33</v>
      </c>
      <c r="K37">
        <f t="shared" si="3"/>
        <v>4492.95</v>
      </c>
      <c r="L37">
        <f t="shared" si="4"/>
        <v>160.56000000000003</v>
      </c>
    </row>
    <row r="38" spans="1:12">
      <c r="A38" s="2">
        <v>46331</v>
      </c>
      <c r="B38" t="s">
        <v>5</v>
      </c>
      <c r="C38">
        <v>100837.63</v>
      </c>
      <c r="D38">
        <v>552.15</v>
      </c>
      <c r="E38">
        <v>365.54</v>
      </c>
      <c r="F38">
        <v>13.33</v>
      </c>
      <c r="G38">
        <v>931.02</v>
      </c>
      <c r="H38">
        <f t="shared" si="1"/>
        <v>2026</v>
      </c>
      <c r="I38">
        <f t="shared" si="0"/>
        <v>11172.840000000002</v>
      </c>
      <c r="J38">
        <f t="shared" si="2"/>
        <v>6519.33</v>
      </c>
      <c r="K38">
        <f t="shared" si="3"/>
        <v>4492.95</v>
      </c>
      <c r="L38">
        <f t="shared" si="4"/>
        <v>160.56000000000003</v>
      </c>
    </row>
    <row r="39" spans="1:12">
      <c r="A39" s="2">
        <v>46361</v>
      </c>
      <c r="B39" t="s">
        <v>5</v>
      </c>
      <c r="C39">
        <v>100285.48</v>
      </c>
      <c r="D39">
        <v>554.16</v>
      </c>
      <c r="E39">
        <v>363.53</v>
      </c>
      <c r="F39">
        <v>13.33</v>
      </c>
      <c r="G39">
        <v>931.02</v>
      </c>
      <c r="H39">
        <f t="shared" si="1"/>
        <v>2026</v>
      </c>
      <c r="I39">
        <f t="shared" ref="I39:I70" si="5">SUMIF(H:H,H39,G:G)</f>
        <v>11172.840000000002</v>
      </c>
      <c r="J39">
        <f t="shared" si="2"/>
        <v>6519.33</v>
      </c>
      <c r="K39">
        <f t="shared" si="3"/>
        <v>4492.95</v>
      </c>
      <c r="L39">
        <f t="shared" si="4"/>
        <v>160.56000000000003</v>
      </c>
    </row>
    <row r="40" spans="1:12">
      <c r="A40" s="2">
        <v>46392</v>
      </c>
      <c r="B40" t="s">
        <v>5</v>
      </c>
      <c r="C40">
        <v>99731.32</v>
      </c>
      <c r="D40">
        <v>556.16</v>
      </c>
      <c r="E40">
        <v>361.53</v>
      </c>
      <c r="F40">
        <v>13.33</v>
      </c>
      <c r="G40">
        <v>931.02</v>
      </c>
      <c r="H40">
        <f t="shared" si="1"/>
        <v>2027</v>
      </c>
      <c r="I40">
        <f t="shared" si="5"/>
        <v>11168.640000000003</v>
      </c>
      <c r="J40">
        <f t="shared" si="2"/>
        <v>6808.6399999999994</v>
      </c>
      <c r="K40">
        <f t="shared" si="3"/>
        <v>4203.6400000000003</v>
      </c>
      <c r="L40">
        <f t="shared" si="4"/>
        <v>156.36000000000004</v>
      </c>
    </row>
    <row r="41" spans="1:12">
      <c r="A41" s="2">
        <v>46423</v>
      </c>
      <c r="B41" t="s">
        <v>5</v>
      </c>
      <c r="C41">
        <v>99175.16</v>
      </c>
      <c r="D41">
        <v>558.17999999999995</v>
      </c>
      <c r="E41">
        <v>359.51</v>
      </c>
      <c r="F41">
        <v>13.33</v>
      </c>
      <c r="G41">
        <v>931.02</v>
      </c>
      <c r="H41">
        <f t="shared" si="1"/>
        <v>2027</v>
      </c>
      <c r="I41">
        <f t="shared" si="5"/>
        <v>11168.640000000003</v>
      </c>
      <c r="J41">
        <f t="shared" si="2"/>
        <v>6808.6399999999994</v>
      </c>
      <c r="K41">
        <f t="shared" si="3"/>
        <v>4203.6400000000003</v>
      </c>
      <c r="L41">
        <f t="shared" si="4"/>
        <v>156.36000000000004</v>
      </c>
    </row>
    <row r="42" spans="1:12">
      <c r="A42" s="2">
        <v>46451</v>
      </c>
      <c r="B42" t="s">
        <v>5</v>
      </c>
      <c r="C42">
        <v>98616.98</v>
      </c>
      <c r="D42">
        <v>560.20000000000005</v>
      </c>
      <c r="E42">
        <v>357.49</v>
      </c>
      <c r="F42">
        <v>13.33</v>
      </c>
      <c r="G42">
        <v>931.02</v>
      </c>
      <c r="H42">
        <f t="shared" si="1"/>
        <v>2027</v>
      </c>
      <c r="I42">
        <f t="shared" si="5"/>
        <v>11168.640000000003</v>
      </c>
      <c r="J42">
        <f t="shared" si="2"/>
        <v>6808.6399999999994</v>
      </c>
      <c r="K42">
        <f t="shared" si="3"/>
        <v>4203.6400000000003</v>
      </c>
      <c r="L42">
        <f t="shared" si="4"/>
        <v>156.36000000000004</v>
      </c>
    </row>
    <row r="43" spans="1:12">
      <c r="A43" s="2">
        <v>46482</v>
      </c>
      <c r="B43" t="s">
        <v>5</v>
      </c>
      <c r="C43">
        <v>98056.78</v>
      </c>
      <c r="D43">
        <v>562.23</v>
      </c>
      <c r="E43">
        <v>355.46</v>
      </c>
      <c r="F43">
        <v>12.93</v>
      </c>
      <c r="G43">
        <v>930.62</v>
      </c>
      <c r="H43">
        <f t="shared" si="1"/>
        <v>2027</v>
      </c>
      <c r="I43">
        <f t="shared" si="5"/>
        <v>11168.640000000003</v>
      </c>
      <c r="J43">
        <f t="shared" si="2"/>
        <v>6808.6399999999994</v>
      </c>
      <c r="K43">
        <f t="shared" si="3"/>
        <v>4203.6400000000003</v>
      </c>
      <c r="L43">
        <f t="shared" si="4"/>
        <v>156.36000000000004</v>
      </c>
    </row>
    <row r="44" spans="1:12">
      <c r="A44" s="2">
        <v>46512</v>
      </c>
      <c r="B44" t="s">
        <v>5</v>
      </c>
      <c r="C44">
        <v>97494.55</v>
      </c>
      <c r="D44">
        <v>564.27</v>
      </c>
      <c r="E44">
        <v>353.42</v>
      </c>
      <c r="F44">
        <v>12.93</v>
      </c>
      <c r="G44">
        <v>930.62</v>
      </c>
      <c r="H44">
        <f t="shared" si="1"/>
        <v>2027</v>
      </c>
      <c r="I44">
        <f t="shared" si="5"/>
        <v>11168.640000000003</v>
      </c>
      <c r="J44">
        <f t="shared" si="2"/>
        <v>6808.6399999999994</v>
      </c>
      <c r="K44">
        <f t="shared" si="3"/>
        <v>4203.6400000000003</v>
      </c>
      <c r="L44">
        <f t="shared" si="4"/>
        <v>156.36000000000004</v>
      </c>
    </row>
    <row r="45" spans="1:12">
      <c r="A45" s="2">
        <v>46543</v>
      </c>
      <c r="B45" t="s">
        <v>5</v>
      </c>
      <c r="C45">
        <v>96930.28</v>
      </c>
      <c r="D45">
        <v>566.32000000000005</v>
      </c>
      <c r="E45">
        <v>351.37</v>
      </c>
      <c r="F45">
        <v>12.93</v>
      </c>
      <c r="G45">
        <v>930.62</v>
      </c>
      <c r="H45">
        <f t="shared" si="1"/>
        <v>2027</v>
      </c>
      <c r="I45">
        <f t="shared" si="5"/>
        <v>11168.640000000003</v>
      </c>
      <c r="J45">
        <f t="shared" si="2"/>
        <v>6808.6399999999994</v>
      </c>
      <c r="K45">
        <f t="shared" si="3"/>
        <v>4203.6400000000003</v>
      </c>
      <c r="L45">
        <f t="shared" si="4"/>
        <v>156.36000000000004</v>
      </c>
    </row>
    <row r="46" spans="1:12">
      <c r="A46" s="2">
        <v>46573</v>
      </c>
      <c r="B46" t="s">
        <v>5</v>
      </c>
      <c r="C46">
        <v>96363.96</v>
      </c>
      <c r="D46">
        <v>568.37</v>
      </c>
      <c r="E46">
        <v>349.32</v>
      </c>
      <c r="F46">
        <v>12.93</v>
      </c>
      <c r="G46">
        <v>930.62</v>
      </c>
      <c r="H46">
        <f t="shared" si="1"/>
        <v>2027</v>
      </c>
      <c r="I46">
        <f t="shared" si="5"/>
        <v>11168.640000000003</v>
      </c>
      <c r="J46">
        <f t="shared" si="2"/>
        <v>6808.6399999999994</v>
      </c>
      <c r="K46">
        <f t="shared" si="3"/>
        <v>4203.6400000000003</v>
      </c>
      <c r="L46">
        <f t="shared" si="4"/>
        <v>156.36000000000004</v>
      </c>
    </row>
    <row r="47" spans="1:12">
      <c r="A47" s="2">
        <v>46604</v>
      </c>
      <c r="B47" t="s">
        <v>5</v>
      </c>
      <c r="C47">
        <v>95795.59</v>
      </c>
      <c r="D47">
        <v>570.42999999999995</v>
      </c>
      <c r="E47">
        <v>347.26</v>
      </c>
      <c r="F47">
        <v>12.93</v>
      </c>
      <c r="G47">
        <v>930.62</v>
      </c>
      <c r="H47">
        <f t="shared" si="1"/>
        <v>2027</v>
      </c>
      <c r="I47">
        <f t="shared" si="5"/>
        <v>11168.640000000003</v>
      </c>
      <c r="J47">
        <f t="shared" si="2"/>
        <v>6808.6399999999994</v>
      </c>
      <c r="K47">
        <f t="shared" si="3"/>
        <v>4203.6400000000003</v>
      </c>
      <c r="L47">
        <f t="shared" si="4"/>
        <v>156.36000000000004</v>
      </c>
    </row>
    <row r="48" spans="1:12">
      <c r="A48" s="2">
        <v>46635</v>
      </c>
      <c r="B48" t="s">
        <v>5</v>
      </c>
      <c r="C48">
        <v>95225.16</v>
      </c>
      <c r="D48">
        <v>572.5</v>
      </c>
      <c r="E48">
        <v>345.19</v>
      </c>
      <c r="F48">
        <v>12.93</v>
      </c>
      <c r="G48">
        <v>930.62</v>
      </c>
      <c r="H48">
        <f t="shared" si="1"/>
        <v>2027</v>
      </c>
      <c r="I48">
        <f t="shared" si="5"/>
        <v>11168.640000000003</v>
      </c>
      <c r="J48">
        <f t="shared" si="2"/>
        <v>6808.6399999999994</v>
      </c>
      <c r="K48">
        <f t="shared" si="3"/>
        <v>4203.6400000000003</v>
      </c>
      <c r="L48">
        <f t="shared" si="4"/>
        <v>156.36000000000004</v>
      </c>
    </row>
    <row r="49" spans="1:12">
      <c r="A49" s="2">
        <v>46665</v>
      </c>
      <c r="B49" t="s">
        <v>5</v>
      </c>
      <c r="C49">
        <v>94652.66</v>
      </c>
      <c r="D49">
        <v>574.57000000000005</v>
      </c>
      <c r="E49">
        <v>343.12</v>
      </c>
      <c r="F49">
        <v>12.93</v>
      </c>
      <c r="G49">
        <v>930.62</v>
      </c>
      <c r="H49">
        <f t="shared" si="1"/>
        <v>2027</v>
      </c>
      <c r="I49">
        <f t="shared" si="5"/>
        <v>11168.640000000003</v>
      </c>
      <c r="J49">
        <f t="shared" si="2"/>
        <v>6808.6399999999994</v>
      </c>
      <c r="K49">
        <f t="shared" si="3"/>
        <v>4203.6400000000003</v>
      </c>
      <c r="L49">
        <f t="shared" si="4"/>
        <v>156.36000000000004</v>
      </c>
    </row>
    <row r="50" spans="1:12">
      <c r="A50" s="2">
        <v>46696</v>
      </c>
      <c r="B50" t="s">
        <v>5</v>
      </c>
      <c r="C50">
        <v>94078.09</v>
      </c>
      <c r="D50">
        <v>576.66</v>
      </c>
      <c r="E50">
        <v>341.03</v>
      </c>
      <c r="F50">
        <v>12.93</v>
      </c>
      <c r="G50">
        <v>930.62</v>
      </c>
      <c r="H50">
        <f t="shared" si="1"/>
        <v>2027</v>
      </c>
      <c r="I50">
        <f t="shared" si="5"/>
        <v>11168.640000000003</v>
      </c>
      <c r="J50">
        <f t="shared" si="2"/>
        <v>6808.6399999999994</v>
      </c>
      <c r="K50">
        <f t="shared" si="3"/>
        <v>4203.6400000000003</v>
      </c>
      <c r="L50">
        <f t="shared" si="4"/>
        <v>156.36000000000004</v>
      </c>
    </row>
    <row r="51" spans="1:12">
      <c r="A51" s="2">
        <v>46726</v>
      </c>
      <c r="B51" t="s">
        <v>5</v>
      </c>
      <c r="C51">
        <v>93501.43</v>
      </c>
      <c r="D51">
        <v>578.75</v>
      </c>
      <c r="E51">
        <v>338.94</v>
      </c>
      <c r="F51">
        <v>12.93</v>
      </c>
      <c r="G51">
        <v>930.62</v>
      </c>
      <c r="H51">
        <f t="shared" si="1"/>
        <v>2027</v>
      </c>
      <c r="I51">
        <f t="shared" si="5"/>
        <v>11168.640000000003</v>
      </c>
      <c r="J51">
        <f t="shared" si="2"/>
        <v>6808.6399999999994</v>
      </c>
      <c r="K51">
        <f t="shared" si="3"/>
        <v>4203.6400000000003</v>
      </c>
      <c r="L51">
        <f t="shared" si="4"/>
        <v>156.36000000000004</v>
      </c>
    </row>
    <row r="52" spans="1:12">
      <c r="A52" s="2">
        <v>46757</v>
      </c>
      <c r="B52" t="s">
        <v>5</v>
      </c>
      <c r="C52">
        <v>92922.68</v>
      </c>
      <c r="D52">
        <v>580.85</v>
      </c>
      <c r="E52">
        <v>336.84</v>
      </c>
      <c r="F52">
        <v>12.93</v>
      </c>
      <c r="G52">
        <v>930.62</v>
      </c>
      <c r="H52">
        <f t="shared" si="1"/>
        <v>2028</v>
      </c>
      <c r="I52">
        <f t="shared" si="5"/>
        <v>11164.11</v>
      </c>
      <c r="J52">
        <f t="shared" si="2"/>
        <v>7110.8</v>
      </c>
      <c r="K52">
        <f t="shared" si="3"/>
        <v>3901.4799999999996</v>
      </c>
      <c r="L52">
        <f t="shared" si="4"/>
        <v>151.83000000000001</v>
      </c>
    </row>
    <row r="53" spans="1:12">
      <c r="A53" s="2">
        <v>46788</v>
      </c>
      <c r="B53" t="s">
        <v>5</v>
      </c>
      <c r="C53">
        <v>92341.83</v>
      </c>
      <c r="D53">
        <v>582.95000000000005</v>
      </c>
      <c r="E53">
        <v>334.74</v>
      </c>
      <c r="F53">
        <v>12.93</v>
      </c>
      <c r="G53">
        <v>930.62</v>
      </c>
      <c r="H53">
        <f t="shared" si="1"/>
        <v>2028</v>
      </c>
      <c r="I53">
        <f t="shared" si="5"/>
        <v>11164.11</v>
      </c>
      <c r="J53">
        <f t="shared" si="2"/>
        <v>7110.8</v>
      </c>
      <c r="K53">
        <f t="shared" si="3"/>
        <v>3901.4799999999996</v>
      </c>
      <c r="L53">
        <f t="shared" si="4"/>
        <v>151.83000000000001</v>
      </c>
    </row>
    <row r="54" spans="1:12">
      <c r="A54" s="2">
        <v>46817</v>
      </c>
      <c r="B54" t="s">
        <v>5</v>
      </c>
      <c r="C54">
        <v>91758.88</v>
      </c>
      <c r="D54">
        <v>585.05999999999995</v>
      </c>
      <c r="E54">
        <v>332.63</v>
      </c>
      <c r="F54">
        <v>12.93</v>
      </c>
      <c r="G54">
        <v>930.62</v>
      </c>
      <c r="H54">
        <f t="shared" si="1"/>
        <v>2028</v>
      </c>
      <c r="I54">
        <f t="shared" si="5"/>
        <v>11164.11</v>
      </c>
      <c r="J54">
        <f t="shared" si="2"/>
        <v>7110.8</v>
      </c>
      <c r="K54">
        <f t="shared" si="3"/>
        <v>3901.4799999999996</v>
      </c>
      <c r="L54">
        <f t="shared" si="4"/>
        <v>151.83000000000001</v>
      </c>
    </row>
    <row r="55" spans="1:12">
      <c r="A55" s="2">
        <v>46848</v>
      </c>
      <c r="B55" t="s">
        <v>5</v>
      </c>
      <c r="C55">
        <v>91173.82</v>
      </c>
      <c r="D55">
        <v>587.17999999999995</v>
      </c>
      <c r="E55">
        <v>330.51</v>
      </c>
      <c r="F55">
        <v>12.56</v>
      </c>
      <c r="G55">
        <v>930.25</v>
      </c>
      <c r="H55">
        <f t="shared" si="1"/>
        <v>2028</v>
      </c>
      <c r="I55">
        <f t="shared" si="5"/>
        <v>11164.11</v>
      </c>
      <c r="J55">
        <f t="shared" si="2"/>
        <v>7110.8</v>
      </c>
      <c r="K55">
        <f t="shared" si="3"/>
        <v>3901.4799999999996</v>
      </c>
      <c r="L55">
        <f t="shared" si="4"/>
        <v>151.83000000000001</v>
      </c>
    </row>
    <row r="56" spans="1:12">
      <c r="A56" s="2">
        <v>46878</v>
      </c>
      <c r="B56" t="s">
        <v>5</v>
      </c>
      <c r="C56">
        <v>90586.64</v>
      </c>
      <c r="D56">
        <v>589.30999999999995</v>
      </c>
      <c r="E56">
        <v>328.38</v>
      </c>
      <c r="F56">
        <v>12.56</v>
      </c>
      <c r="G56">
        <v>930.25</v>
      </c>
      <c r="H56">
        <f t="shared" si="1"/>
        <v>2028</v>
      </c>
      <c r="I56">
        <f t="shared" si="5"/>
        <v>11164.11</v>
      </c>
      <c r="J56">
        <f t="shared" si="2"/>
        <v>7110.8</v>
      </c>
      <c r="K56">
        <f t="shared" si="3"/>
        <v>3901.4799999999996</v>
      </c>
      <c r="L56">
        <f t="shared" si="4"/>
        <v>151.83000000000001</v>
      </c>
    </row>
    <row r="57" spans="1:12">
      <c r="A57" s="2">
        <v>46909</v>
      </c>
      <c r="B57" t="s">
        <v>5</v>
      </c>
      <c r="C57">
        <v>89997.33</v>
      </c>
      <c r="D57">
        <v>591.45000000000005</v>
      </c>
      <c r="E57">
        <v>326.24</v>
      </c>
      <c r="F57">
        <v>12.56</v>
      </c>
      <c r="G57">
        <v>930.25</v>
      </c>
      <c r="H57">
        <f t="shared" si="1"/>
        <v>2028</v>
      </c>
      <c r="I57">
        <f t="shared" si="5"/>
        <v>11164.11</v>
      </c>
      <c r="J57">
        <f t="shared" si="2"/>
        <v>7110.8</v>
      </c>
      <c r="K57">
        <f t="shared" si="3"/>
        <v>3901.4799999999996</v>
      </c>
      <c r="L57">
        <f t="shared" si="4"/>
        <v>151.83000000000001</v>
      </c>
    </row>
    <row r="58" spans="1:12">
      <c r="A58" s="2">
        <v>46939</v>
      </c>
      <c r="B58" t="s">
        <v>5</v>
      </c>
      <c r="C58">
        <v>89405.88</v>
      </c>
      <c r="D58">
        <v>593.59</v>
      </c>
      <c r="E58">
        <v>324.10000000000002</v>
      </c>
      <c r="F58">
        <v>12.56</v>
      </c>
      <c r="G58">
        <v>930.25</v>
      </c>
      <c r="H58">
        <f t="shared" si="1"/>
        <v>2028</v>
      </c>
      <c r="I58">
        <f t="shared" si="5"/>
        <v>11164.11</v>
      </c>
      <c r="J58">
        <f t="shared" si="2"/>
        <v>7110.8</v>
      </c>
      <c r="K58">
        <f t="shared" si="3"/>
        <v>3901.4799999999996</v>
      </c>
      <c r="L58">
        <f t="shared" si="4"/>
        <v>151.83000000000001</v>
      </c>
    </row>
    <row r="59" spans="1:12">
      <c r="A59" s="2">
        <v>46970</v>
      </c>
      <c r="B59" t="s">
        <v>5</v>
      </c>
      <c r="C59">
        <v>88812.29</v>
      </c>
      <c r="D59">
        <v>595.75</v>
      </c>
      <c r="E59">
        <v>321.94</v>
      </c>
      <c r="F59">
        <v>12.56</v>
      </c>
      <c r="G59">
        <v>930.25</v>
      </c>
      <c r="H59">
        <f t="shared" si="1"/>
        <v>2028</v>
      </c>
      <c r="I59">
        <f t="shared" si="5"/>
        <v>11164.11</v>
      </c>
      <c r="J59">
        <f t="shared" si="2"/>
        <v>7110.8</v>
      </c>
      <c r="K59">
        <f t="shared" si="3"/>
        <v>3901.4799999999996</v>
      </c>
      <c r="L59">
        <f t="shared" si="4"/>
        <v>151.83000000000001</v>
      </c>
    </row>
    <row r="60" spans="1:12">
      <c r="A60" s="2">
        <v>47001</v>
      </c>
      <c r="B60" t="s">
        <v>5</v>
      </c>
      <c r="C60">
        <v>88216.54</v>
      </c>
      <c r="D60">
        <v>597.91</v>
      </c>
      <c r="E60">
        <v>319.77999999999997</v>
      </c>
      <c r="F60">
        <v>12.56</v>
      </c>
      <c r="G60">
        <v>930.25</v>
      </c>
      <c r="H60">
        <f t="shared" si="1"/>
        <v>2028</v>
      </c>
      <c r="I60">
        <f t="shared" si="5"/>
        <v>11164.11</v>
      </c>
      <c r="J60">
        <f t="shared" si="2"/>
        <v>7110.8</v>
      </c>
      <c r="K60">
        <f t="shared" si="3"/>
        <v>3901.4799999999996</v>
      </c>
      <c r="L60">
        <f t="shared" si="4"/>
        <v>151.83000000000001</v>
      </c>
    </row>
    <row r="61" spans="1:12">
      <c r="A61" s="2">
        <v>47031</v>
      </c>
      <c r="B61" t="s">
        <v>5</v>
      </c>
      <c r="C61">
        <v>87618.63</v>
      </c>
      <c r="D61">
        <v>600.07000000000005</v>
      </c>
      <c r="E61">
        <v>317.62</v>
      </c>
      <c r="F61">
        <v>12.56</v>
      </c>
      <c r="G61">
        <v>930.25</v>
      </c>
      <c r="H61">
        <f t="shared" si="1"/>
        <v>2028</v>
      </c>
      <c r="I61">
        <f t="shared" si="5"/>
        <v>11164.11</v>
      </c>
      <c r="J61">
        <f t="shared" si="2"/>
        <v>7110.8</v>
      </c>
      <c r="K61">
        <f t="shared" si="3"/>
        <v>3901.4799999999996</v>
      </c>
      <c r="L61">
        <f t="shared" si="4"/>
        <v>151.83000000000001</v>
      </c>
    </row>
    <row r="62" spans="1:12">
      <c r="A62" s="2">
        <v>47062</v>
      </c>
      <c r="B62" t="s">
        <v>5</v>
      </c>
      <c r="C62">
        <v>87018.559999999998</v>
      </c>
      <c r="D62">
        <v>602.25</v>
      </c>
      <c r="E62">
        <v>315.44</v>
      </c>
      <c r="F62">
        <v>12.56</v>
      </c>
      <c r="G62">
        <v>930.25</v>
      </c>
      <c r="H62">
        <f t="shared" si="1"/>
        <v>2028</v>
      </c>
      <c r="I62">
        <f t="shared" si="5"/>
        <v>11164.11</v>
      </c>
      <c r="J62">
        <f t="shared" si="2"/>
        <v>7110.8</v>
      </c>
      <c r="K62">
        <f t="shared" si="3"/>
        <v>3901.4799999999996</v>
      </c>
      <c r="L62">
        <f t="shared" si="4"/>
        <v>151.83000000000001</v>
      </c>
    </row>
    <row r="63" spans="1:12">
      <c r="A63" s="2">
        <v>47092</v>
      </c>
      <c r="B63" t="s">
        <v>5</v>
      </c>
      <c r="C63">
        <v>86416.31</v>
      </c>
      <c r="D63">
        <v>604.42999999999995</v>
      </c>
      <c r="E63">
        <v>313.26</v>
      </c>
      <c r="F63">
        <v>12.56</v>
      </c>
      <c r="G63">
        <v>930.25</v>
      </c>
      <c r="H63">
        <f t="shared" si="1"/>
        <v>2028</v>
      </c>
      <c r="I63">
        <f t="shared" si="5"/>
        <v>11164.11</v>
      </c>
      <c r="J63">
        <f t="shared" si="2"/>
        <v>7110.8</v>
      </c>
      <c r="K63">
        <f t="shared" si="3"/>
        <v>3901.4799999999996</v>
      </c>
      <c r="L63">
        <f t="shared" si="4"/>
        <v>151.83000000000001</v>
      </c>
    </row>
    <row r="64" spans="1:12">
      <c r="A64" s="2">
        <v>47123</v>
      </c>
      <c r="B64" t="s">
        <v>5</v>
      </c>
      <c r="C64">
        <v>85811.88</v>
      </c>
      <c r="D64">
        <v>606.62</v>
      </c>
      <c r="E64">
        <v>311.07</v>
      </c>
      <c r="F64">
        <v>12.56</v>
      </c>
      <c r="G64">
        <v>930.25</v>
      </c>
      <c r="H64">
        <f t="shared" si="1"/>
        <v>2029</v>
      </c>
      <c r="I64">
        <f t="shared" si="5"/>
        <v>11162.909999999998</v>
      </c>
      <c r="J64">
        <f t="shared" si="2"/>
        <v>7426.3600000000006</v>
      </c>
      <c r="K64">
        <f t="shared" si="3"/>
        <v>3585.9200000000005</v>
      </c>
      <c r="L64">
        <f t="shared" si="4"/>
        <v>150.63</v>
      </c>
    </row>
    <row r="65" spans="1:12">
      <c r="A65" s="2">
        <v>47154</v>
      </c>
      <c r="B65" t="s">
        <v>5</v>
      </c>
      <c r="C65">
        <v>85205.26</v>
      </c>
      <c r="D65">
        <v>608.82000000000005</v>
      </c>
      <c r="E65">
        <v>308.87</v>
      </c>
      <c r="F65">
        <v>12.56</v>
      </c>
      <c r="G65">
        <v>930.25</v>
      </c>
      <c r="H65">
        <f t="shared" si="1"/>
        <v>2029</v>
      </c>
      <c r="I65">
        <f t="shared" si="5"/>
        <v>11162.909999999998</v>
      </c>
      <c r="J65">
        <f t="shared" si="2"/>
        <v>7426.3600000000006</v>
      </c>
      <c r="K65">
        <f t="shared" si="3"/>
        <v>3585.9200000000005</v>
      </c>
      <c r="L65">
        <f t="shared" si="4"/>
        <v>150.63</v>
      </c>
    </row>
    <row r="66" spans="1:12">
      <c r="A66" s="2">
        <v>47182</v>
      </c>
      <c r="B66" t="s">
        <v>5</v>
      </c>
      <c r="C66">
        <v>84596.44</v>
      </c>
      <c r="D66">
        <v>611.03</v>
      </c>
      <c r="E66">
        <v>306.66000000000003</v>
      </c>
      <c r="F66">
        <v>12.56</v>
      </c>
      <c r="G66">
        <v>930.25</v>
      </c>
      <c r="H66">
        <f t="shared" si="1"/>
        <v>2029</v>
      </c>
      <c r="I66">
        <f t="shared" si="5"/>
        <v>11162.909999999998</v>
      </c>
      <c r="J66">
        <f t="shared" si="2"/>
        <v>7426.3600000000006</v>
      </c>
      <c r="K66">
        <f t="shared" si="3"/>
        <v>3585.9200000000005</v>
      </c>
      <c r="L66">
        <f t="shared" si="4"/>
        <v>150.63</v>
      </c>
    </row>
    <row r="67" spans="1:12">
      <c r="A67" s="2">
        <v>47213</v>
      </c>
      <c r="B67" t="s">
        <v>5</v>
      </c>
      <c r="C67">
        <v>83985.41</v>
      </c>
      <c r="D67">
        <v>613.24</v>
      </c>
      <c r="E67">
        <v>304.45</v>
      </c>
      <c r="F67">
        <v>12.55</v>
      </c>
      <c r="G67">
        <v>930.24</v>
      </c>
      <c r="H67">
        <f t="shared" si="1"/>
        <v>2029</v>
      </c>
      <c r="I67">
        <f t="shared" si="5"/>
        <v>11162.909999999998</v>
      </c>
      <c r="J67">
        <f t="shared" si="2"/>
        <v>7426.3600000000006</v>
      </c>
      <c r="K67">
        <f t="shared" si="3"/>
        <v>3585.9200000000005</v>
      </c>
      <c r="L67">
        <f t="shared" si="4"/>
        <v>150.63</v>
      </c>
    </row>
    <row r="68" spans="1:12">
      <c r="A68" s="2">
        <v>47243</v>
      </c>
      <c r="B68" t="s">
        <v>5</v>
      </c>
      <c r="C68">
        <v>83372.17</v>
      </c>
      <c r="D68">
        <v>615.47</v>
      </c>
      <c r="E68">
        <v>302.22000000000003</v>
      </c>
      <c r="F68">
        <v>12.55</v>
      </c>
      <c r="G68">
        <v>930.24</v>
      </c>
      <c r="H68">
        <f t="shared" si="1"/>
        <v>2029</v>
      </c>
      <c r="I68">
        <f t="shared" si="5"/>
        <v>11162.909999999998</v>
      </c>
      <c r="J68">
        <f t="shared" si="2"/>
        <v>7426.3600000000006</v>
      </c>
      <c r="K68">
        <f t="shared" si="3"/>
        <v>3585.9200000000005</v>
      </c>
      <c r="L68">
        <f t="shared" si="4"/>
        <v>150.63</v>
      </c>
    </row>
    <row r="69" spans="1:12">
      <c r="A69" s="2">
        <v>47274</v>
      </c>
      <c r="B69" t="s">
        <v>5</v>
      </c>
      <c r="C69">
        <v>82756.7</v>
      </c>
      <c r="D69">
        <v>617.70000000000005</v>
      </c>
      <c r="E69">
        <v>299.99</v>
      </c>
      <c r="F69">
        <v>12.55</v>
      </c>
      <c r="G69">
        <v>930.24</v>
      </c>
      <c r="H69">
        <f t="shared" si="1"/>
        <v>2029</v>
      </c>
      <c r="I69">
        <f t="shared" si="5"/>
        <v>11162.909999999998</v>
      </c>
      <c r="J69">
        <f t="shared" si="2"/>
        <v>7426.3600000000006</v>
      </c>
      <c r="K69">
        <f t="shared" si="3"/>
        <v>3585.9200000000005</v>
      </c>
      <c r="L69">
        <f t="shared" si="4"/>
        <v>150.63</v>
      </c>
    </row>
    <row r="70" spans="1:12">
      <c r="A70" s="2">
        <v>47304</v>
      </c>
      <c r="B70" t="s">
        <v>5</v>
      </c>
      <c r="C70">
        <v>82139</v>
      </c>
      <c r="D70">
        <v>619.94000000000005</v>
      </c>
      <c r="E70">
        <v>297.75</v>
      </c>
      <c r="F70">
        <v>12.55</v>
      </c>
      <c r="G70">
        <v>930.24</v>
      </c>
      <c r="H70">
        <f t="shared" si="1"/>
        <v>2029</v>
      </c>
      <c r="I70">
        <f t="shared" si="5"/>
        <v>11162.909999999998</v>
      </c>
      <c r="J70">
        <f t="shared" si="2"/>
        <v>7426.3600000000006</v>
      </c>
      <c r="K70">
        <f t="shared" si="3"/>
        <v>3585.9200000000005</v>
      </c>
      <c r="L70">
        <f t="shared" si="4"/>
        <v>150.63</v>
      </c>
    </row>
    <row r="71" spans="1:12">
      <c r="A71" s="2">
        <v>47335</v>
      </c>
      <c r="B71" t="s">
        <v>5</v>
      </c>
      <c r="C71">
        <v>81519.06</v>
      </c>
      <c r="D71">
        <v>622.17999999999995</v>
      </c>
      <c r="E71">
        <v>295.51</v>
      </c>
      <c r="F71">
        <v>12.55</v>
      </c>
      <c r="G71">
        <v>930.24</v>
      </c>
      <c r="H71">
        <f t="shared" si="1"/>
        <v>2029</v>
      </c>
      <c r="I71">
        <f t="shared" ref="I71:I102" si="6">SUMIF(H:H,H71,G:G)</f>
        <v>11162.909999999998</v>
      </c>
      <c r="J71">
        <f t="shared" si="2"/>
        <v>7426.3600000000006</v>
      </c>
      <c r="K71">
        <f t="shared" si="3"/>
        <v>3585.9200000000005</v>
      </c>
      <c r="L71">
        <f t="shared" si="4"/>
        <v>150.63</v>
      </c>
    </row>
    <row r="72" spans="1:12">
      <c r="A72" s="2">
        <v>47366</v>
      </c>
      <c r="B72" t="s">
        <v>5</v>
      </c>
      <c r="C72">
        <v>80896.88</v>
      </c>
      <c r="D72">
        <v>624.44000000000005</v>
      </c>
      <c r="E72">
        <v>293.25</v>
      </c>
      <c r="F72">
        <v>12.55</v>
      </c>
      <c r="G72">
        <v>930.24</v>
      </c>
      <c r="H72">
        <f t="shared" ref="H72:H135" si="7">YEAR(A72)</f>
        <v>2029</v>
      </c>
      <c r="I72">
        <f t="shared" si="6"/>
        <v>11162.909999999998</v>
      </c>
      <c r="J72">
        <f t="shared" ref="J72:J135" si="8">SUMIF(H:H,H72,D:D)</f>
        <v>7426.3600000000006</v>
      </c>
      <c r="K72">
        <f t="shared" ref="K72:K135" si="9">SUMIF(H:H,H72,E:E)</f>
        <v>3585.9200000000005</v>
      </c>
      <c r="L72">
        <f t="shared" ref="L72:L135" si="10">SUMIF(H:H,H72,F:F)</f>
        <v>150.63</v>
      </c>
    </row>
    <row r="73" spans="1:12">
      <c r="A73" s="2">
        <v>47396</v>
      </c>
      <c r="B73" t="s">
        <v>5</v>
      </c>
      <c r="C73">
        <v>80272.44</v>
      </c>
      <c r="D73">
        <v>626.70000000000005</v>
      </c>
      <c r="E73">
        <v>290.99</v>
      </c>
      <c r="F73">
        <v>12.55</v>
      </c>
      <c r="G73">
        <v>930.24</v>
      </c>
      <c r="H73">
        <f t="shared" si="7"/>
        <v>2029</v>
      </c>
      <c r="I73">
        <f t="shared" si="6"/>
        <v>11162.909999999998</v>
      </c>
      <c r="J73">
        <f t="shared" si="8"/>
        <v>7426.3600000000006</v>
      </c>
      <c r="K73">
        <f t="shared" si="9"/>
        <v>3585.9200000000005</v>
      </c>
      <c r="L73">
        <f t="shared" si="10"/>
        <v>150.63</v>
      </c>
    </row>
    <row r="74" spans="1:12">
      <c r="A74" s="2">
        <v>47427</v>
      </c>
      <c r="B74" t="s">
        <v>5</v>
      </c>
      <c r="C74">
        <v>79645.740000000005</v>
      </c>
      <c r="D74">
        <v>628.97</v>
      </c>
      <c r="E74">
        <v>288.72000000000003</v>
      </c>
      <c r="F74">
        <v>12.55</v>
      </c>
      <c r="G74">
        <v>930.24</v>
      </c>
      <c r="H74">
        <f t="shared" si="7"/>
        <v>2029</v>
      </c>
      <c r="I74">
        <f t="shared" si="6"/>
        <v>11162.909999999998</v>
      </c>
      <c r="J74">
        <f t="shared" si="8"/>
        <v>7426.3600000000006</v>
      </c>
      <c r="K74">
        <f t="shared" si="9"/>
        <v>3585.9200000000005</v>
      </c>
      <c r="L74">
        <f t="shared" si="10"/>
        <v>150.63</v>
      </c>
    </row>
    <row r="75" spans="1:12">
      <c r="A75" s="2">
        <v>47457</v>
      </c>
      <c r="B75" t="s">
        <v>5</v>
      </c>
      <c r="C75">
        <v>79016.77</v>
      </c>
      <c r="D75">
        <v>631.25</v>
      </c>
      <c r="E75">
        <v>286.44</v>
      </c>
      <c r="F75">
        <v>12.55</v>
      </c>
      <c r="G75">
        <v>930.24</v>
      </c>
      <c r="H75">
        <f t="shared" si="7"/>
        <v>2029</v>
      </c>
      <c r="I75">
        <f t="shared" si="6"/>
        <v>11162.909999999998</v>
      </c>
      <c r="J75">
        <f t="shared" si="8"/>
        <v>7426.3600000000006</v>
      </c>
      <c r="K75">
        <f t="shared" si="9"/>
        <v>3585.9200000000005</v>
      </c>
      <c r="L75">
        <f t="shared" si="10"/>
        <v>150.63</v>
      </c>
    </row>
    <row r="76" spans="1:12">
      <c r="A76" s="2">
        <v>47488</v>
      </c>
      <c r="B76" t="s">
        <v>5</v>
      </c>
      <c r="C76">
        <v>78385.52</v>
      </c>
      <c r="D76">
        <v>633.54</v>
      </c>
      <c r="E76">
        <v>284.14999999999998</v>
      </c>
      <c r="F76">
        <v>12.55</v>
      </c>
      <c r="G76">
        <v>930.24</v>
      </c>
      <c r="H76">
        <f t="shared" si="7"/>
        <v>2030</v>
      </c>
      <c r="I76">
        <f t="shared" si="6"/>
        <v>11163.240000000002</v>
      </c>
      <c r="J76">
        <f t="shared" si="8"/>
        <v>7755.93</v>
      </c>
      <c r="K76">
        <f t="shared" si="9"/>
        <v>3256.35</v>
      </c>
      <c r="L76">
        <f t="shared" si="10"/>
        <v>150.96000000000004</v>
      </c>
    </row>
    <row r="77" spans="1:12">
      <c r="A77" s="2">
        <v>47519</v>
      </c>
      <c r="B77" t="s">
        <v>5</v>
      </c>
      <c r="C77">
        <v>77751.98</v>
      </c>
      <c r="D77">
        <v>635.84</v>
      </c>
      <c r="E77">
        <v>281.85000000000002</v>
      </c>
      <c r="F77">
        <v>12.55</v>
      </c>
      <c r="G77">
        <v>930.24</v>
      </c>
      <c r="H77">
        <f t="shared" si="7"/>
        <v>2030</v>
      </c>
      <c r="I77">
        <f t="shared" si="6"/>
        <v>11163.240000000002</v>
      </c>
      <c r="J77">
        <f t="shared" si="8"/>
        <v>7755.93</v>
      </c>
      <c r="K77">
        <f t="shared" si="9"/>
        <v>3256.35</v>
      </c>
      <c r="L77">
        <f t="shared" si="10"/>
        <v>150.96000000000004</v>
      </c>
    </row>
    <row r="78" spans="1:12">
      <c r="A78" s="2">
        <v>47547</v>
      </c>
      <c r="B78" t="s">
        <v>5</v>
      </c>
      <c r="C78">
        <v>77116.14</v>
      </c>
      <c r="D78">
        <v>638.14</v>
      </c>
      <c r="E78">
        <v>279.55</v>
      </c>
      <c r="F78">
        <v>12.55</v>
      </c>
      <c r="G78">
        <v>930.24</v>
      </c>
      <c r="H78">
        <f t="shared" si="7"/>
        <v>2030</v>
      </c>
      <c r="I78">
        <f t="shared" si="6"/>
        <v>11163.240000000002</v>
      </c>
      <c r="J78">
        <f t="shared" si="8"/>
        <v>7755.93</v>
      </c>
      <c r="K78">
        <f t="shared" si="9"/>
        <v>3256.35</v>
      </c>
      <c r="L78">
        <f t="shared" si="10"/>
        <v>150.96000000000004</v>
      </c>
    </row>
    <row r="79" spans="1:12">
      <c r="A79" s="2">
        <v>47578</v>
      </c>
      <c r="B79" t="s">
        <v>5</v>
      </c>
      <c r="C79">
        <v>76478</v>
      </c>
      <c r="D79">
        <v>640.46</v>
      </c>
      <c r="E79">
        <v>277.23</v>
      </c>
      <c r="F79">
        <v>12.59</v>
      </c>
      <c r="G79">
        <v>930.28</v>
      </c>
      <c r="H79">
        <f t="shared" si="7"/>
        <v>2030</v>
      </c>
      <c r="I79">
        <f t="shared" si="6"/>
        <v>11163.240000000002</v>
      </c>
      <c r="J79">
        <f t="shared" si="8"/>
        <v>7755.93</v>
      </c>
      <c r="K79">
        <f t="shared" si="9"/>
        <v>3256.35</v>
      </c>
      <c r="L79">
        <f t="shared" si="10"/>
        <v>150.96000000000004</v>
      </c>
    </row>
    <row r="80" spans="1:12">
      <c r="A80" s="2">
        <v>47608</v>
      </c>
      <c r="B80" t="s">
        <v>5</v>
      </c>
      <c r="C80">
        <v>75837.539999999994</v>
      </c>
      <c r="D80">
        <v>642.78</v>
      </c>
      <c r="E80">
        <v>274.91000000000003</v>
      </c>
      <c r="F80">
        <v>12.59</v>
      </c>
      <c r="G80">
        <v>930.28</v>
      </c>
      <c r="H80">
        <f t="shared" si="7"/>
        <v>2030</v>
      </c>
      <c r="I80">
        <f t="shared" si="6"/>
        <v>11163.240000000002</v>
      </c>
      <c r="J80">
        <f t="shared" si="8"/>
        <v>7755.93</v>
      </c>
      <c r="K80">
        <f t="shared" si="9"/>
        <v>3256.35</v>
      </c>
      <c r="L80">
        <f t="shared" si="10"/>
        <v>150.96000000000004</v>
      </c>
    </row>
    <row r="81" spans="1:12">
      <c r="A81" s="2">
        <v>47639</v>
      </c>
      <c r="B81" t="s">
        <v>5</v>
      </c>
      <c r="C81">
        <v>75194.759999999995</v>
      </c>
      <c r="D81">
        <v>645.11</v>
      </c>
      <c r="E81">
        <v>272.58</v>
      </c>
      <c r="F81">
        <v>12.59</v>
      </c>
      <c r="G81">
        <v>930.28</v>
      </c>
      <c r="H81">
        <f t="shared" si="7"/>
        <v>2030</v>
      </c>
      <c r="I81">
        <f t="shared" si="6"/>
        <v>11163.240000000002</v>
      </c>
      <c r="J81">
        <f t="shared" si="8"/>
        <v>7755.93</v>
      </c>
      <c r="K81">
        <f t="shared" si="9"/>
        <v>3256.35</v>
      </c>
      <c r="L81">
        <f t="shared" si="10"/>
        <v>150.96000000000004</v>
      </c>
    </row>
    <row r="82" spans="1:12">
      <c r="A82" s="2">
        <v>47669</v>
      </c>
      <c r="B82" t="s">
        <v>5</v>
      </c>
      <c r="C82">
        <v>74549.649999999994</v>
      </c>
      <c r="D82">
        <v>647.45000000000005</v>
      </c>
      <c r="E82">
        <v>270.24</v>
      </c>
      <c r="F82">
        <v>12.59</v>
      </c>
      <c r="G82">
        <v>930.28</v>
      </c>
      <c r="H82">
        <f t="shared" si="7"/>
        <v>2030</v>
      </c>
      <c r="I82">
        <f t="shared" si="6"/>
        <v>11163.240000000002</v>
      </c>
      <c r="J82">
        <f t="shared" si="8"/>
        <v>7755.93</v>
      </c>
      <c r="K82">
        <f t="shared" si="9"/>
        <v>3256.35</v>
      </c>
      <c r="L82">
        <f t="shared" si="10"/>
        <v>150.96000000000004</v>
      </c>
    </row>
    <row r="83" spans="1:12">
      <c r="A83" s="2">
        <v>47700</v>
      </c>
      <c r="B83" t="s">
        <v>5</v>
      </c>
      <c r="C83">
        <v>73902.2</v>
      </c>
      <c r="D83">
        <v>649.79</v>
      </c>
      <c r="E83">
        <v>267.89999999999998</v>
      </c>
      <c r="F83">
        <v>12.59</v>
      </c>
      <c r="G83">
        <v>930.28</v>
      </c>
      <c r="H83">
        <f t="shared" si="7"/>
        <v>2030</v>
      </c>
      <c r="I83">
        <f t="shared" si="6"/>
        <v>11163.240000000002</v>
      </c>
      <c r="J83">
        <f t="shared" si="8"/>
        <v>7755.93</v>
      </c>
      <c r="K83">
        <f t="shared" si="9"/>
        <v>3256.35</v>
      </c>
      <c r="L83">
        <f t="shared" si="10"/>
        <v>150.96000000000004</v>
      </c>
    </row>
    <row r="84" spans="1:12">
      <c r="A84" s="2">
        <v>47731</v>
      </c>
      <c r="B84" t="s">
        <v>5</v>
      </c>
      <c r="C84">
        <v>73252.41</v>
      </c>
      <c r="D84">
        <v>652.15</v>
      </c>
      <c r="E84">
        <v>265.54000000000002</v>
      </c>
      <c r="F84">
        <v>12.59</v>
      </c>
      <c r="G84">
        <v>930.28</v>
      </c>
      <c r="H84">
        <f t="shared" si="7"/>
        <v>2030</v>
      </c>
      <c r="I84">
        <f t="shared" si="6"/>
        <v>11163.240000000002</v>
      </c>
      <c r="J84">
        <f t="shared" si="8"/>
        <v>7755.93</v>
      </c>
      <c r="K84">
        <f t="shared" si="9"/>
        <v>3256.35</v>
      </c>
      <c r="L84">
        <f t="shared" si="10"/>
        <v>150.96000000000004</v>
      </c>
    </row>
    <row r="85" spans="1:12">
      <c r="A85" s="2">
        <v>47761</v>
      </c>
      <c r="B85" t="s">
        <v>5</v>
      </c>
      <c r="C85">
        <v>72600.259999999995</v>
      </c>
      <c r="D85">
        <v>654.51</v>
      </c>
      <c r="E85">
        <v>263.18</v>
      </c>
      <c r="F85">
        <v>12.59</v>
      </c>
      <c r="G85">
        <v>930.28</v>
      </c>
      <c r="H85">
        <f t="shared" si="7"/>
        <v>2030</v>
      </c>
      <c r="I85">
        <f t="shared" si="6"/>
        <v>11163.240000000002</v>
      </c>
      <c r="J85">
        <f t="shared" si="8"/>
        <v>7755.93</v>
      </c>
      <c r="K85">
        <f t="shared" si="9"/>
        <v>3256.35</v>
      </c>
      <c r="L85">
        <f t="shared" si="10"/>
        <v>150.96000000000004</v>
      </c>
    </row>
    <row r="86" spans="1:12">
      <c r="A86" s="2">
        <v>47792</v>
      </c>
      <c r="B86" t="s">
        <v>5</v>
      </c>
      <c r="C86">
        <v>71945.75</v>
      </c>
      <c r="D86">
        <v>656.89</v>
      </c>
      <c r="E86">
        <v>260.8</v>
      </c>
      <c r="F86">
        <v>12.59</v>
      </c>
      <c r="G86">
        <v>930.28</v>
      </c>
      <c r="H86">
        <f t="shared" si="7"/>
        <v>2030</v>
      </c>
      <c r="I86">
        <f t="shared" si="6"/>
        <v>11163.240000000002</v>
      </c>
      <c r="J86">
        <f t="shared" si="8"/>
        <v>7755.93</v>
      </c>
      <c r="K86">
        <f t="shared" si="9"/>
        <v>3256.35</v>
      </c>
      <c r="L86">
        <f t="shared" si="10"/>
        <v>150.96000000000004</v>
      </c>
    </row>
    <row r="87" spans="1:12">
      <c r="A87" s="2">
        <v>47822</v>
      </c>
      <c r="B87" t="s">
        <v>5</v>
      </c>
      <c r="C87">
        <v>71288.86</v>
      </c>
      <c r="D87">
        <v>659.27</v>
      </c>
      <c r="E87">
        <v>258.42</v>
      </c>
      <c r="F87">
        <v>12.59</v>
      </c>
      <c r="G87">
        <v>930.28</v>
      </c>
      <c r="H87">
        <f t="shared" si="7"/>
        <v>2030</v>
      </c>
      <c r="I87">
        <f t="shared" si="6"/>
        <v>11163.240000000002</v>
      </c>
      <c r="J87">
        <f t="shared" si="8"/>
        <v>7755.93</v>
      </c>
      <c r="K87">
        <f t="shared" si="9"/>
        <v>3256.35</v>
      </c>
      <c r="L87">
        <f t="shared" si="10"/>
        <v>150.96000000000004</v>
      </c>
    </row>
    <row r="88" spans="1:12">
      <c r="A88" s="2">
        <v>47853</v>
      </c>
      <c r="B88" t="s">
        <v>5</v>
      </c>
      <c r="C88">
        <v>70629.59</v>
      </c>
      <c r="D88">
        <v>661.66</v>
      </c>
      <c r="E88">
        <v>256.02999999999997</v>
      </c>
      <c r="F88">
        <v>12.59</v>
      </c>
      <c r="G88">
        <v>930.28</v>
      </c>
      <c r="H88">
        <f t="shared" si="7"/>
        <v>2031</v>
      </c>
      <c r="I88">
        <f t="shared" si="6"/>
        <v>11159.759999999998</v>
      </c>
      <c r="J88">
        <f t="shared" si="8"/>
        <v>8100.119999999999</v>
      </c>
      <c r="K88">
        <f t="shared" si="9"/>
        <v>2912.1600000000003</v>
      </c>
      <c r="L88">
        <f t="shared" si="10"/>
        <v>147.47999999999999</v>
      </c>
    </row>
    <row r="89" spans="1:12">
      <c r="A89" s="2">
        <v>47884</v>
      </c>
      <c r="B89" t="s">
        <v>5</v>
      </c>
      <c r="C89">
        <v>69967.929999999993</v>
      </c>
      <c r="D89">
        <v>664.06</v>
      </c>
      <c r="E89">
        <v>253.63</v>
      </c>
      <c r="F89">
        <v>12.59</v>
      </c>
      <c r="G89">
        <v>930.28</v>
      </c>
      <c r="H89">
        <f t="shared" si="7"/>
        <v>2031</v>
      </c>
      <c r="I89">
        <f t="shared" si="6"/>
        <v>11159.759999999998</v>
      </c>
      <c r="J89">
        <f t="shared" si="8"/>
        <v>8100.119999999999</v>
      </c>
      <c r="K89">
        <f t="shared" si="9"/>
        <v>2912.1600000000003</v>
      </c>
      <c r="L89">
        <f t="shared" si="10"/>
        <v>147.47999999999999</v>
      </c>
    </row>
    <row r="90" spans="1:12">
      <c r="A90" s="2">
        <v>47912</v>
      </c>
      <c r="B90" t="s">
        <v>5</v>
      </c>
      <c r="C90">
        <v>69303.87</v>
      </c>
      <c r="D90">
        <v>666.46</v>
      </c>
      <c r="E90">
        <v>251.23</v>
      </c>
      <c r="F90">
        <v>12.59</v>
      </c>
      <c r="G90">
        <v>930.28</v>
      </c>
      <c r="H90">
        <f t="shared" si="7"/>
        <v>2031</v>
      </c>
      <c r="I90">
        <f t="shared" si="6"/>
        <v>11159.759999999998</v>
      </c>
      <c r="J90">
        <f t="shared" si="8"/>
        <v>8100.119999999999</v>
      </c>
      <c r="K90">
        <f t="shared" si="9"/>
        <v>2912.1600000000003</v>
      </c>
      <c r="L90">
        <f t="shared" si="10"/>
        <v>147.47999999999999</v>
      </c>
    </row>
    <row r="91" spans="1:12">
      <c r="A91" s="2">
        <v>47943</v>
      </c>
      <c r="B91" t="s">
        <v>5</v>
      </c>
      <c r="C91">
        <v>68637.41</v>
      </c>
      <c r="D91">
        <v>668.88</v>
      </c>
      <c r="E91">
        <v>248.81</v>
      </c>
      <c r="F91">
        <v>12.19</v>
      </c>
      <c r="G91">
        <v>929.88</v>
      </c>
      <c r="H91">
        <f t="shared" si="7"/>
        <v>2031</v>
      </c>
      <c r="I91">
        <f t="shared" si="6"/>
        <v>11159.759999999998</v>
      </c>
      <c r="J91">
        <f t="shared" si="8"/>
        <v>8100.119999999999</v>
      </c>
      <c r="K91">
        <f t="shared" si="9"/>
        <v>2912.1600000000003</v>
      </c>
      <c r="L91">
        <f t="shared" si="10"/>
        <v>147.47999999999999</v>
      </c>
    </row>
    <row r="92" spans="1:12">
      <c r="A92" s="2">
        <v>47973</v>
      </c>
      <c r="B92" t="s">
        <v>5</v>
      </c>
      <c r="C92">
        <v>67968.53</v>
      </c>
      <c r="D92">
        <v>671.3</v>
      </c>
      <c r="E92">
        <v>246.39</v>
      </c>
      <c r="F92">
        <v>12.19</v>
      </c>
      <c r="G92">
        <v>929.88</v>
      </c>
      <c r="H92">
        <f t="shared" si="7"/>
        <v>2031</v>
      </c>
      <c r="I92">
        <f t="shared" si="6"/>
        <v>11159.759999999998</v>
      </c>
      <c r="J92">
        <f t="shared" si="8"/>
        <v>8100.119999999999</v>
      </c>
      <c r="K92">
        <f t="shared" si="9"/>
        <v>2912.1600000000003</v>
      </c>
      <c r="L92">
        <f t="shared" si="10"/>
        <v>147.47999999999999</v>
      </c>
    </row>
    <row r="93" spans="1:12">
      <c r="A93" s="2">
        <v>48004</v>
      </c>
      <c r="B93" t="s">
        <v>5</v>
      </c>
      <c r="C93">
        <v>67297.23</v>
      </c>
      <c r="D93">
        <v>673.74</v>
      </c>
      <c r="E93">
        <v>243.95</v>
      </c>
      <c r="F93">
        <v>12.19</v>
      </c>
      <c r="G93">
        <v>929.88</v>
      </c>
      <c r="H93">
        <f t="shared" si="7"/>
        <v>2031</v>
      </c>
      <c r="I93">
        <f t="shared" si="6"/>
        <v>11159.759999999998</v>
      </c>
      <c r="J93">
        <f t="shared" si="8"/>
        <v>8100.119999999999</v>
      </c>
      <c r="K93">
        <f t="shared" si="9"/>
        <v>2912.1600000000003</v>
      </c>
      <c r="L93">
        <f t="shared" si="10"/>
        <v>147.47999999999999</v>
      </c>
    </row>
    <row r="94" spans="1:12">
      <c r="A94" s="2">
        <v>48034</v>
      </c>
      <c r="B94" t="s">
        <v>5</v>
      </c>
      <c r="C94">
        <v>66623.490000000005</v>
      </c>
      <c r="D94">
        <v>676.18</v>
      </c>
      <c r="E94">
        <v>241.51</v>
      </c>
      <c r="F94">
        <v>12.19</v>
      </c>
      <c r="G94">
        <v>929.88</v>
      </c>
      <c r="H94">
        <f t="shared" si="7"/>
        <v>2031</v>
      </c>
      <c r="I94">
        <f t="shared" si="6"/>
        <v>11159.759999999998</v>
      </c>
      <c r="J94">
        <f t="shared" si="8"/>
        <v>8100.119999999999</v>
      </c>
      <c r="K94">
        <f t="shared" si="9"/>
        <v>2912.1600000000003</v>
      </c>
      <c r="L94">
        <f t="shared" si="10"/>
        <v>147.47999999999999</v>
      </c>
    </row>
    <row r="95" spans="1:12">
      <c r="A95" s="2">
        <v>48065</v>
      </c>
      <c r="B95" t="s">
        <v>5</v>
      </c>
      <c r="C95">
        <v>65947.31</v>
      </c>
      <c r="D95">
        <v>678.63</v>
      </c>
      <c r="E95">
        <v>239.06</v>
      </c>
      <c r="F95">
        <v>12.19</v>
      </c>
      <c r="G95">
        <v>929.88</v>
      </c>
      <c r="H95">
        <f t="shared" si="7"/>
        <v>2031</v>
      </c>
      <c r="I95">
        <f t="shared" si="6"/>
        <v>11159.759999999998</v>
      </c>
      <c r="J95">
        <f t="shared" si="8"/>
        <v>8100.119999999999</v>
      </c>
      <c r="K95">
        <f t="shared" si="9"/>
        <v>2912.1600000000003</v>
      </c>
      <c r="L95">
        <f t="shared" si="10"/>
        <v>147.47999999999999</v>
      </c>
    </row>
    <row r="96" spans="1:12">
      <c r="A96" s="2">
        <v>48096</v>
      </c>
      <c r="B96" t="s">
        <v>5</v>
      </c>
      <c r="C96">
        <v>65268.68</v>
      </c>
      <c r="D96">
        <v>681.09</v>
      </c>
      <c r="E96">
        <v>236.6</v>
      </c>
      <c r="F96">
        <v>12.19</v>
      </c>
      <c r="G96">
        <v>929.88</v>
      </c>
      <c r="H96">
        <f t="shared" si="7"/>
        <v>2031</v>
      </c>
      <c r="I96">
        <f t="shared" si="6"/>
        <v>11159.759999999998</v>
      </c>
      <c r="J96">
        <f t="shared" si="8"/>
        <v>8100.119999999999</v>
      </c>
      <c r="K96">
        <f t="shared" si="9"/>
        <v>2912.1600000000003</v>
      </c>
      <c r="L96">
        <f t="shared" si="10"/>
        <v>147.47999999999999</v>
      </c>
    </row>
    <row r="97" spans="1:12">
      <c r="A97" s="2">
        <v>48126</v>
      </c>
      <c r="B97" t="s">
        <v>5</v>
      </c>
      <c r="C97">
        <v>64587.59</v>
      </c>
      <c r="D97">
        <v>683.56</v>
      </c>
      <c r="E97">
        <v>234.13</v>
      </c>
      <c r="F97">
        <v>12.19</v>
      </c>
      <c r="G97">
        <v>929.88</v>
      </c>
      <c r="H97">
        <f t="shared" si="7"/>
        <v>2031</v>
      </c>
      <c r="I97">
        <f t="shared" si="6"/>
        <v>11159.759999999998</v>
      </c>
      <c r="J97">
        <f t="shared" si="8"/>
        <v>8100.119999999999</v>
      </c>
      <c r="K97">
        <f t="shared" si="9"/>
        <v>2912.1600000000003</v>
      </c>
      <c r="L97">
        <f t="shared" si="10"/>
        <v>147.47999999999999</v>
      </c>
    </row>
    <row r="98" spans="1:12">
      <c r="A98" s="2">
        <v>48157</v>
      </c>
      <c r="B98" t="s">
        <v>5</v>
      </c>
      <c r="C98">
        <v>63904.03</v>
      </c>
      <c r="D98">
        <v>686.04</v>
      </c>
      <c r="E98">
        <v>231.65</v>
      </c>
      <c r="F98">
        <v>12.19</v>
      </c>
      <c r="G98">
        <v>929.88</v>
      </c>
      <c r="H98">
        <f t="shared" si="7"/>
        <v>2031</v>
      </c>
      <c r="I98">
        <f t="shared" si="6"/>
        <v>11159.759999999998</v>
      </c>
      <c r="J98">
        <f t="shared" si="8"/>
        <v>8100.119999999999</v>
      </c>
      <c r="K98">
        <f t="shared" si="9"/>
        <v>2912.1600000000003</v>
      </c>
      <c r="L98">
        <f t="shared" si="10"/>
        <v>147.47999999999999</v>
      </c>
    </row>
    <row r="99" spans="1:12">
      <c r="A99" s="2">
        <v>48187</v>
      </c>
      <c r="B99" t="s">
        <v>5</v>
      </c>
      <c r="C99">
        <v>63217.99</v>
      </c>
      <c r="D99">
        <v>688.52</v>
      </c>
      <c r="E99">
        <v>229.17</v>
      </c>
      <c r="F99">
        <v>12.19</v>
      </c>
      <c r="G99">
        <v>929.88</v>
      </c>
      <c r="H99">
        <f t="shared" si="7"/>
        <v>2031</v>
      </c>
      <c r="I99">
        <f t="shared" si="6"/>
        <v>11159.759999999998</v>
      </c>
      <c r="J99">
        <f t="shared" si="8"/>
        <v>8100.119999999999</v>
      </c>
      <c r="K99">
        <f t="shared" si="9"/>
        <v>2912.1600000000003</v>
      </c>
      <c r="L99">
        <f t="shared" si="10"/>
        <v>147.47999999999999</v>
      </c>
    </row>
    <row r="100" spans="1:12">
      <c r="A100" s="2">
        <v>48218</v>
      </c>
      <c r="B100" t="s">
        <v>5</v>
      </c>
      <c r="C100">
        <v>62529.47</v>
      </c>
      <c r="D100">
        <v>691.02</v>
      </c>
      <c r="E100">
        <v>226.67</v>
      </c>
      <c r="F100">
        <v>12.19</v>
      </c>
      <c r="G100">
        <v>929.88</v>
      </c>
      <c r="H100">
        <f t="shared" si="7"/>
        <v>2032</v>
      </c>
      <c r="I100">
        <f t="shared" si="6"/>
        <v>11154.510000000002</v>
      </c>
      <c r="J100">
        <f t="shared" si="8"/>
        <v>8459.6</v>
      </c>
      <c r="K100">
        <f t="shared" si="9"/>
        <v>2552.6800000000003</v>
      </c>
      <c r="L100">
        <f t="shared" si="10"/>
        <v>142.22999999999999</v>
      </c>
    </row>
    <row r="101" spans="1:12">
      <c r="A101" s="2">
        <v>48249</v>
      </c>
      <c r="B101" t="s">
        <v>5</v>
      </c>
      <c r="C101">
        <v>61838.45</v>
      </c>
      <c r="D101">
        <v>693.53</v>
      </c>
      <c r="E101">
        <v>224.16</v>
      </c>
      <c r="F101">
        <v>12.19</v>
      </c>
      <c r="G101">
        <v>929.88</v>
      </c>
      <c r="H101">
        <f t="shared" si="7"/>
        <v>2032</v>
      </c>
      <c r="I101">
        <f t="shared" si="6"/>
        <v>11154.510000000002</v>
      </c>
      <c r="J101">
        <f t="shared" si="8"/>
        <v>8459.6</v>
      </c>
      <c r="K101">
        <f t="shared" si="9"/>
        <v>2552.6800000000003</v>
      </c>
      <c r="L101">
        <f t="shared" si="10"/>
        <v>142.22999999999999</v>
      </c>
    </row>
    <row r="102" spans="1:12">
      <c r="A102" s="2">
        <v>48278</v>
      </c>
      <c r="B102" t="s">
        <v>5</v>
      </c>
      <c r="C102">
        <v>61144.92</v>
      </c>
      <c r="D102">
        <v>696.04</v>
      </c>
      <c r="E102">
        <v>221.65</v>
      </c>
      <c r="F102">
        <v>12.19</v>
      </c>
      <c r="G102">
        <v>929.88</v>
      </c>
      <c r="H102">
        <f t="shared" si="7"/>
        <v>2032</v>
      </c>
      <c r="I102">
        <f t="shared" si="6"/>
        <v>11154.510000000002</v>
      </c>
      <c r="J102">
        <f t="shared" si="8"/>
        <v>8459.6</v>
      </c>
      <c r="K102">
        <f t="shared" si="9"/>
        <v>2552.6800000000003</v>
      </c>
      <c r="L102">
        <f t="shared" si="10"/>
        <v>142.22999999999999</v>
      </c>
    </row>
    <row r="103" spans="1:12">
      <c r="A103" s="2">
        <v>48309</v>
      </c>
      <c r="B103" t="s">
        <v>5</v>
      </c>
      <c r="C103">
        <v>60448.88</v>
      </c>
      <c r="D103">
        <v>698.56</v>
      </c>
      <c r="E103">
        <v>219.13</v>
      </c>
      <c r="F103">
        <v>11.74</v>
      </c>
      <c r="G103">
        <v>929.43</v>
      </c>
      <c r="H103">
        <f t="shared" si="7"/>
        <v>2032</v>
      </c>
      <c r="I103">
        <f t="shared" ref="I103:I134" si="11">SUMIF(H:H,H103,G:G)</f>
        <v>11154.510000000002</v>
      </c>
      <c r="J103">
        <f t="shared" si="8"/>
        <v>8459.6</v>
      </c>
      <c r="K103">
        <f t="shared" si="9"/>
        <v>2552.6800000000003</v>
      </c>
      <c r="L103">
        <f t="shared" si="10"/>
        <v>142.22999999999999</v>
      </c>
    </row>
    <row r="104" spans="1:12">
      <c r="A104" s="2">
        <v>48339</v>
      </c>
      <c r="B104" t="s">
        <v>5</v>
      </c>
      <c r="C104">
        <v>59750.32</v>
      </c>
      <c r="D104">
        <v>701.1</v>
      </c>
      <c r="E104">
        <v>216.59</v>
      </c>
      <c r="F104">
        <v>11.74</v>
      </c>
      <c r="G104">
        <v>929.43</v>
      </c>
      <c r="H104">
        <f t="shared" si="7"/>
        <v>2032</v>
      </c>
      <c r="I104">
        <f t="shared" si="11"/>
        <v>11154.510000000002</v>
      </c>
      <c r="J104">
        <f t="shared" si="8"/>
        <v>8459.6</v>
      </c>
      <c r="K104">
        <f t="shared" si="9"/>
        <v>2552.6800000000003</v>
      </c>
      <c r="L104">
        <f t="shared" si="10"/>
        <v>142.22999999999999</v>
      </c>
    </row>
    <row r="105" spans="1:12">
      <c r="A105" s="2">
        <v>48370</v>
      </c>
      <c r="B105" t="s">
        <v>5</v>
      </c>
      <c r="C105">
        <v>59049.22</v>
      </c>
      <c r="D105">
        <v>703.64</v>
      </c>
      <c r="E105">
        <v>214.05</v>
      </c>
      <c r="F105">
        <v>11.74</v>
      </c>
      <c r="G105">
        <v>929.43</v>
      </c>
      <c r="H105">
        <f t="shared" si="7"/>
        <v>2032</v>
      </c>
      <c r="I105">
        <f t="shared" si="11"/>
        <v>11154.510000000002</v>
      </c>
      <c r="J105">
        <f t="shared" si="8"/>
        <v>8459.6</v>
      </c>
      <c r="K105">
        <f t="shared" si="9"/>
        <v>2552.6800000000003</v>
      </c>
      <c r="L105">
        <f t="shared" si="10"/>
        <v>142.22999999999999</v>
      </c>
    </row>
    <row r="106" spans="1:12">
      <c r="A106" s="2">
        <v>48400</v>
      </c>
      <c r="B106" t="s">
        <v>5</v>
      </c>
      <c r="C106">
        <v>58345.58</v>
      </c>
      <c r="D106">
        <v>706.19</v>
      </c>
      <c r="E106">
        <v>211.5</v>
      </c>
      <c r="F106">
        <v>11.74</v>
      </c>
      <c r="G106">
        <v>929.43</v>
      </c>
      <c r="H106">
        <f t="shared" si="7"/>
        <v>2032</v>
      </c>
      <c r="I106">
        <f t="shared" si="11"/>
        <v>11154.510000000002</v>
      </c>
      <c r="J106">
        <f t="shared" si="8"/>
        <v>8459.6</v>
      </c>
      <c r="K106">
        <f t="shared" si="9"/>
        <v>2552.6800000000003</v>
      </c>
      <c r="L106">
        <f t="shared" si="10"/>
        <v>142.22999999999999</v>
      </c>
    </row>
    <row r="107" spans="1:12">
      <c r="A107" s="2">
        <v>48431</v>
      </c>
      <c r="B107" t="s">
        <v>5</v>
      </c>
      <c r="C107">
        <v>57639.39</v>
      </c>
      <c r="D107">
        <v>708.75</v>
      </c>
      <c r="E107">
        <v>208.94</v>
      </c>
      <c r="F107">
        <v>11.74</v>
      </c>
      <c r="G107">
        <v>929.43</v>
      </c>
      <c r="H107">
        <f t="shared" si="7"/>
        <v>2032</v>
      </c>
      <c r="I107">
        <f t="shared" si="11"/>
        <v>11154.510000000002</v>
      </c>
      <c r="J107">
        <f t="shared" si="8"/>
        <v>8459.6</v>
      </c>
      <c r="K107">
        <f t="shared" si="9"/>
        <v>2552.6800000000003</v>
      </c>
      <c r="L107">
        <f t="shared" si="10"/>
        <v>142.22999999999999</v>
      </c>
    </row>
    <row r="108" spans="1:12">
      <c r="A108" s="2">
        <v>48462</v>
      </c>
      <c r="B108" t="s">
        <v>5</v>
      </c>
      <c r="C108">
        <v>56930.64</v>
      </c>
      <c r="D108">
        <v>711.32</v>
      </c>
      <c r="E108">
        <v>206.37</v>
      </c>
      <c r="F108">
        <v>11.74</v>
      </c>
      <c r="G108">
        <v>929.43</v>
      </c>
      <c r="H108">
        <f t="shared" si="7"/>
        <v>2032</v>
      </c>
      <c r="I108">
        <f t="shared" si="11"/>
        <v>11154.510000000002</v>
      </c>
      <c r="J108">
        <f t="shared" si="8"/>
        <v>8459.6</v>
      </c>
      <c r="K108">
        <f t="shared" si="9"/>
        <v>2552.6800000000003</v>
      </c>
      <c r="L108">
        <f t="shared" si="10"/>
        <v>142.22999999999999</v>
      </c>
    </row>
    <row r="109" spans="1:12">
      <c r="A109" s="2">
        <v>48492</v>
      </c>
      <c r="B109" t="s">
        <v>5</v>
      </c>
      <c r="C109">
        <v>56219.32</v>
      </c>
      <c r="D109">
        <v>713.89</v>
      </c>
      <c r="E109">
        <v>203.8</v>
      </c>
      <c r="F109">
        <v>11.74</v>
      </c>
      <c r="G109">
        <v>929.43</v>
      </c>
      <c r="H109">
        <f t="shared" si="7"/>
        <v>2032</v>
      </c>
      <c r="I109">
        <f t="shared" si="11"/>
        <v>11154.510000000002</v>
      </c>
      <c r="J109">
        <f t="shared" si="8"/>
        <v>8459.6</v>
      </c>
      <c r="K109">
        <f t="shared" si="9"/>
        <v>2552.6800000000003</v>
      </c>
      <c r="L109">
        <f t="shared" si="10"/>
        <v>142.22999999999999</v>
      </c>
    </row>
    <row r="110" spans="1:12">
      <c r="A110" s="2">
        <v>48523</v>
      </c>
      <c r="B110" t="s">
        <v>5</v>
      </c>
      <c r="C110">
        <v>55505.43</v>
      </c>
      <c r="D110">
        <v>716.48</v>
      </c>
      <c r="E110">
        <v>201.21</v>
      </c>
      <c r="F110">
        <v>11.74</v>
      </c>
      <c r="G110">
        <v>929.43</v>
      </c>
      <c r="H110">
        <f t="shared" si="7"/>
        <v>2032</v>
      </c>
      <c r="I110">
        <f t="shared" si="11"/>
        <v>11154.510000000002</v>
      </c>
      <c r="J110">
        <f t="shared" si="8"/>
        <v>8459.6</v>
      </c>
      <c r="K110">
        <f t="shared" si="9"/>
        <v>2552.6800000000003</v>
      </c>
      <c r="L110">
        <f t="shared" si="10"/>
        <v>142.22999999999999</v>
      </c>
    </row>
    <row r="111" spans="1:12">
      <c r="A111" s="2">
        <v>48553</v>
      </c>
      <c r="B111" t="s">
        <v>5</v>
      </c>
      <c r="C111">
        <v>54788.95</v>
      </c>
      <c r="D111">
        <v>719.08</v>
      </c>
      <c r="E111">
        <v>198.61</v>
      </c>
      <c r="F111">
        <v>11.74</v>
      </c>
      <c r="G111">
        <v>929.43</v>
      </c>
      <c r="H111">
        <f t="shared" si="7"/>
        <v>2032</v>
      </c>
      <c r="I111">
        <f t="shared" si="11"/>
        <v>11154.510000000002</v>
      </c>
      <c r="J111">
        <f t="shared" si="8"/>
        <v>8459.6</v>
      </c>
      <c r="K111">
        <f t="shared" si="9"/>
        <v>2552.6800000000003</v>
      </c>
      <c r="L111">
        <f t="shared" si="10"/>
        <v>142.22999999999999</v>
      </c>
    </row>
    <row r="112" spans="1:12">
      <c r="A112" s="2">
        <v>48584</v>
      </c>
      <c r="B112" t="s">
        <v>5</v>
      </c>
      <c r="C112">
        <v>54069.87</v>
      </c>
      <c r="D112">
        <v>721.69</v>
      </c>
      <c r="E112">
        <v>196</v>
      </c>
      <c r="F112">
        <v>11.74</v>
      </c>
      <c r="G112">
        <v>929.43</v>
      </c>
      <c r="H112">
        <f t="shared" si="7"/>
        <v>2033</v>
      </c>
      <c r="I112">
        <f t="shared" si="11"/>
        <v>11149.29</v>
      </c>
      <c r="J112">
        <f t="shared" si="8"/>
        <v>8835.01</v>
      </c>
      <c r="K112">
        <f t="shared" si="9"/>
        <v>2177.27</v>
      </c>
      <c r="L112">
        <f t="shared" si="10"/>
        <v>137.01000000000002</v>
      </c>
    </row>
    <row r="113" spans="1:12">
      <c r="A113" s="2">
        <v>48615</v>
      </c>
      <c r="B113" t="s">
        <v>5</v>
      </c>
      <c r="C113">
        <v>53348.18</v>
      </c>
      <c r="D113">
        <v>724.3</v>
      </c>
      <c r="E113">
        <v>193.39</v>
      </c>
      <c r="F113">
        <v>11.74</v>
      </c>
      <c r="G113">
        <v>929.43</v>
      </c>
      <c r="H113">
        <f t="shared" si="7"/>
        <v>2033</v>
      </c>
      <c r="I113">
        <f t="shared" si="11"/>
        <v>11149.29</v>
      </c>
      <c r="J113">
        <f t="shared" si="8"/>
        <v>8835.01</v>
      </c>
      <c r="K113">
        <f t="shared" si="9"/>
        <v>2177.27</v>
      </c>
      <c r="L113">
        <f t="shared" si="10"/>
        <v>137.01000000000002</v>
      </c>
    </row>
    <row r="114" spans="1:12">
      <c r="A114" s="2">
        <v>48643</v>
      </c>
      <c r="B114" t="s">
        <v>5</v>
      </c>
      <c r="C114">
        <v>52623.88</v>
      </c>
      <c r="D114">
        <v>726.93</v>
      </c>
      <c r="E114">
        <v>190.76</v>
      </c>
      <c r="F114">
        <v>11.74</v>
      </c>
      <c r="G114">
        <v>929.43</v>
      </c>
      <c r="H114">
        <f t="shared" si="7"/>
        <v>2033</v>
      </c>
      <c r="I114">
        <f t="shared" si="11"/>
        <v>11149.29</v>
      </c>
      <c r="J114">
        <f t="shared" si="8"/>
        <v>8835.01</v>
      </c>
      <c r="K114">
        <f t="shared" si="9"/>
        <v>2177.27</v>
      </c>
      <c r="L114">
        <f t="shared" si="10"/>
        <v>137.01000000000002</v>
      </c>
    </row>
    <row r="115" spans="1:12">
      <c r="A115" s="2">
        <v>48674</v>
      </c>
      <c r="B115" t="s">
        <v>5</v>
      </c>
      <c r="C115">
        <v>51896.95</v>
      </c>
      <c r="D115">
        <v>729.56</v>
      </c>
      <c r="E115">
        <v>188.13</v>
      </c>
      <c r="F115">
        <v>11.31</v>
      </c>
      <c r="G115">
        <v>929</v>
      </c>
      <c r="H115">
        <f t="shared" si="7"/>
        <v>2033</v>
      </c>
      <c r="I115">
        <f t="shared" si="11"/>
        <v>11149.29</v>
      </c>
      <c r="J115">
        <f t="shared" si="8"/>
        <v>8835.01</v>
      </c>
      <c r="K115">
        <f t="shared" si="9"/>
        <v>2177.27</v>
      </c>
      <c r="L115">
        <f t="shared" si="10"/>
        <v>137.01000000000002</v>
      </c>
    </row>
    <row r="116" spans="1:12">
      <c r="A116" s="2">
        <v>48704</v>
      </c>
      <c r="B116" t="s">
        <v>5</v>
      </c>
      <c r="C116">
        <v>51167.39</v>
      </c>
      <c r="D116">
        <v>732.21</v>
      </c>
      <c r="E116">
        <v>185.48</v>
      </c>
      <c r="F116">
        <v>11.31</v>
      </c>
      <c r="G116">
        <v>929</v>
      </c>
      <c r="H116">
        <f t="shared" si="7"/>
        <v>2033</v>
      </c>
      <c r="I116">
        <f t="shared" si="11"/>
        <v>11149.29</v>
      </c>
      <c r="J116">
        <f t="shared" si="8"/>
        <v>8835.01</v>
      </c>
      <c r="K116">
        <f t="shared" si="9"/>
        <v>2177.27</v>
      </c>
      <c r="L116">
        <f t="shared" si="10"/>
        <v>137.01000000000002</v>
      </c>
    </row>
    <row r="117" spans="1:12">
      <c r="A117" s="2">
        <v>48735</v>
      </c>
      <c r="B117" t="s">
        <v>5</v>
      </c>
      <c r="C117">
        <v>50435.18</v>
      </c>
      <c r="D117">
        <v>734.86</v>
      </c>
      <c r="E117">
        <v>182.83</v>
      </c>
      <c r="F117">
        <v>11.31</v>
      </c>
      <c r="G117">
        <v>929</v>
      </c>
      <c r="H117">
        <f t="shared" si="7"/>
        <v>2033</v>
      </c>
      <c r="I117">
        <f t="shared" si="11"/>
        <v>11149.29</v>
      </c>
      <c r="J117">
        <f t="shared" si="8"/>
        <v>8835.01</v>
      </c>
      <c r="K117">
        <f t="shared" si="9"/>
        <v>2177.27</v>
      </c>
      <c r="L117">
        <f t="shared" si="10"/>
        <v>137.01000000000002</v>
      </c>
    </row>
    <row r="118" spans="1:12">
      <c r="A118" s="2">
        <v>48765</v>
      </c>
      <c r="B118" t="s">
        <v>5</v>
      </c>
      <c r="C118">
        <v>49700.32</v>
      </c>
      <c r="D118">
        <v>737.53</v>
      </c>
      <c r="E118">
        <v>180.16</v>
      </c>
      <c r="F118">
        <v>11.31</v>
      </c>
      <c r="G118">
        <v>929</v>
      </c>
      <c r="H118">
        <f t="shared" si="7"/>
        <v>2033</v>
      </c>
      <c r="I118">
        <f t="shared" si="11"/>
        <v>11149.29</v>
      </c>
      <c r="J118">
        <f t="shared" si="8"/>
        <v>8835.01</v>
      </c>
      <c r="K118">
        <f t="shared" si="9"/>
        <v>2177.27</v>
      </c>
      <c r="L118">
        <f t="shared" si="10"/>
        <v>137.01000000000002</v>
      </c>
    </row>
    <row r="119" spans="1:12">
      <c r="A119" s="2">
        <v>48796</v>
      </c>
      <c r="B119" t="s">
        <v>5</v>
      </c>
      <c r="C119">
        <v>48962.79</v>
      </c>
      <c r="D119">
        <v>740.2</v>
      </c>
      <c r="E119">
        <v>177.49</v>
      </c>
      <c r="F119">
        <v>11.31</v>
      </c>
      <c r="G119">
        <v>929</v>
      </c>
      <c r="H119">
        <f t="shared" si="7"/>
        <v>2033</v>
      </c>
      <c r="I119">
        <f t="shared" si="11"/>
        <v>11149.29</v>
      </c>
      <c r="J119">
        <f t="shared" si="8"/>
        <v>8835.01</v>
      </c>
      <c r="K119">
        <f t="shared" si="9"/>
        <v>2177.27</v>
      </c>
      <c r="L119">
        <f t="shared" si="10"/>
        <v>137.01000000000002</v>
      </c>
    </row>
    <row r="120" spans="1:12">
      <c r="A120" s="2">
        <v>48827</v>
      </c>
      <c r="B120" t="s">
        <v>5</v>
      </c>
      <c r="C120">
        <v>48222.59</v>
      </c>
      <c r="D120">
        <v>742.88</v>
      </c>
      <c r="E120">
        <v>174.81</v>
      </c>
      <c r="F120">
        <v>11.31</v>
      </c>
      <c r="G120">
        <v>929</v>
      </c>
      <c r="H120">
        <f t="shared" si="7"/>
        <v>2033</v>
      </c>
      <c r="I120">
        <f t="shared" si="11"/>
        <v>11149.29</v>
      </c>
      <c r="J120">
        <f t="shared" si="8"/>
        <v>8835.01</v>
      </c>
      <c r="K120">
        <f t="shared" si="9"/>
        <v>2177.27</v>
      </c>
      <c r="L120">
        <f t="shared" si="10"/>
        <v>137.01000000000002</v>
      </c>
    </row>
    <row r="121" spans="1:12">
      <c r="A121" s="2">
        <v>48857</v>
      </c>
      <c r="B121" t="s">
        <v>5</v>
      </c>
      <c r="C121">
        <v>47479.71</v>
      </c>
      <c r="D121">
        <v>745.58</v>
      </c>
      <c r="E121">
        <v>172.11</v>
      </c>
      <c r="F121">
        <v>11.31</v>
      </c>
      <c r="G121">
        <v>929</v>
      </c>
      <c r="H121">
        <f t="shared" si="7"/>
        <v>2033</v>
      </c>
      <c r="I121">
        <f t="shared" si="11"/>
        <v>11149.29</v>
      </c>
      <c r="J121">
        <f t="shared" si="8"/>
        <v>8835.01</v>
      </c>
      <c r="K121">
        <f t="shared" si="9"/>
        <v>2177.27</v>
      </c>
      <c r="L121">
        <f t="shared" si="10"/>
        <v>137.01000000000002</v>
      </c>
    </row>
    <row r="122" spans="1:12">
      <c r="A122" s="2">
        <v>48888</v>
      </c>
      <c r="B122" t="s">
        <v>5</v>
      </c>
      <c r="C122">
        <v>46734.13</v>
      </c>
      <c r="D122">
        <v>748.28</v>
      </c>
      <c r="E122">
        <v>169.41</v>
      </c>
      <c r="F122">
        <v>11.31</v>
      </c>
      <c r="G122">
        <v>929</v>
      </c>
      <c r="H122">
        <f t="shared" si="7"/>
        <v>2033</v>
      </c>
      <c r="I122">
        <f t="shared" si="11"/>
        <v>11149.29</v>
      </c>
      <c r="J122">
        <f t="shared" si="8"/>
        <v>8835.01</v>
      </c>
      <c r="K122">
        <f t="shared" si="9"/>
        <v>2177.27</v>
      </c>
      <c r="L122">
        <f t="shared" si="10"/>
        <v>137.01000000000002</v>
      </c>
    </row>
    <row r="123" spans="1:12">
      <c r="A123" s="2">
        <v>48918</v>
      </c>
      <c r="B123" t="s">
        <v>5</v>
      </c>
      <c r="C123">
        <v>45985.85</v>
      </c>
      <c r="D123">
        <v>750.99</v>
      </c>
      <c r="E123">
        <v>166.7</v>
      </c>
      <c r="F123">
        <v>11.31</v>
      </c>
      <c r="G123">
        <v>929</v>
      </c>
      <c r="H123">
        <f t="shared" si="7"/>
        <v>2033</v>
      </c>
      <c r="I123">
        <f t="shared" si="11"/>
        <v>11149.29</v>
      </c>
      <c r="J123">
        <f t="shared" si="8"/>
        <v>8835.01</v>
      </c>
      <c r="K123">
        <f t="shared" si="9"/>
        <v>2177.27</v>
      </c>
      <c r="L123">
        <f t="shared" si="10"/>
        <v>137.01000000000002</v>
      </c>
    </row>
    <row r="124" spans="1:12">
      <c r="A124" s="2">
        <v>48949</v>
      </c>
      <c r="B124" t="s">
        <v>5</v>
      </c>
      <c r="C124">
        <v>45234.86</v>
      </c>
      <c r="D124">
        <v>753.71</v>
      </c>
      <c r="E124">
        <v>163.98</v>
      </c>
      <c r="F124">
        <v>11.31</v>
      </c>
      <c r="G124">
        <v>929</v>
      </c>
      <c r="H124">
        <f t="shared" si="7"/>
        <v>2034</v>
      </c>
      <c r="I124">
        <f t="shared" si="11"/>
        <v>11144.310000000001</v>
      </c>
      <c r="J124">
        <f t="shared" si="8"/>
        <v>9227.090000000002</v>
      </c>
      <c r="K124">
        <f t="shared" si="9"/>
        <v>1785.19</v>
      </c>
      <c r="L124">
        <f t="shared" si="10"/>
        <v>132.03000000000003</v>
      </c>
    </row>
    <row r="125" spans="1:12">
      <c r="A125" s="2">
        <v>48980</v>
      </c>
      <c r="B125" t="s">
        <v>5</v>
      </c>
      <c r="C125">
        <v>44481.15</v>
      </c>
      <c r="D125">
        <v>756.45</v>
      </c>
      <c r="E125">
        <v>161.24</v>
      </c>
      <c r="F125">
        <v>11.31</v>
      </c>
      <c r="G125">
        <v>929</v>
      </c>
      <c r="H125">
        <f t="shared" si="7"/>
        <v>2034</v>
      </c>
      <c r="I125">
        <f t="shared" si="11"/>
        <v>11144.310000000001</v>
      </c>
      <c r="J125">
        <f t="shared" si="8"/>
        <v>9227.090000000002</v>
      </c>
      <c r="K125">
        <f t="shared" si="9"/>
        <v>1785.19</v>
      </c>
      <c r="L125">
        <f t="shared" si="10"/>
        <v>132.03000000000003</v>
      </c>
    </row>
    <row r="126" spans="1:12">
      <c r="A126" s="2">
        <v>49008</v>
      </c>
      <c r="B126" t="s">
        <v>5</v>
      </c>
      <c r="C126">
        <v>43724.7</v>
      </c>
      <c r="D126">
        <v>759.19</v>
      </c>
      <c r="E126">
        <v>158.5</v>
      </c>
      <c r="F126">
        <v>11.31</v>
      </c>
      <c r="G126">
        <v>929</v>
      </c>
      <c r="H126">
        <f t="shared" si="7"/>
        <v>2034</v>
      </c>
      <c r="I126">
        <f t="shared" si="11"/>
        <v>11144.310000000001</v>
      </c>
      <c r="J126">
        <f t="shared" si="8"/>
        <v>9227.090000000002</v>
      </c>
      <c r="K126">
        <f t="shared" si="9"/>
        <v>1785.19</v>
      </c>
      <c r="L126">
        <f t="shared" si="10"/>
        <v>132.03000000000003</v>
      </c>
    </row>
    <row r="127" spans="1:12">
      <c r="A127" s="2">
        <v>49039</v>
      </c>
      <c r="B127" t="s">
        <v>5</v>
      </c>
      <c r="C127">
        <v>42965.51</v>
      </c>
      <c r="D127">
        <v>761.94</v>
      </c>
      <c r="E127">
        <v>155.75</v>
      </c>
      <c r="F127">
        <v>10.9</v>
      </c>
      <c r="G127">
        <v>928.59</v>
      </c>
      <c r="H127">
        <f t="shared" si="7"/>
        <v>2034</v>
      </c>
      <c r="I127">
        <f t="shared" si="11"/>
        <v>11144.310000000001</v>
      </c>
      <c r="J127">
        <f t="shared" si="8"/>
        <v>9227.090000000002</v>
      </c>
      <c r="K127">
        <f t="shared" si="9"/>
        <v>1785.19</v>
      </c>
      <c r="L127">
        <f t="shared" si="10"/>
        <v>132.03000000000003</v>
      </c>
    </row>
    <row r="128" spans="1:12">
      <c r="A128" s="2">
        <v>49069</v>
      </c>
      <c r="B128" t="s">
        <v>5</v>
      </c>
      <c r="C128">
        <v>42203.57</v>
      </c>
      <c r="D128">
        <v>764.7</v>
      </c>
      <c r="E128">
        <v>152.99</v>
      </c>
      <c r="F128">
        <v>10.9</v>
      </c>
      <c r="G128">
        <v>928.59</v>
      </c>
      <c r="H128">
        <f t="shared" si="7"/>
        <v>2034</v>
      </c>
      <c r="I128">
        <f t="shared" si="11"/>
        <v>11144.310000000001</v>
      </c>
      <c r="J128">
        <f t="shared" si="8"/>
        <v>9227.090000000002</v>
      </c>
      <c r="K128">
        <f t="shared" si="9"/>
        <v>1785.19</v>
      </c>
      <c r="L128">
        <f t="shared" si="10"/>
        <v>132.03000000000003</v>
      </c>
    </row>
    <row r="129" spans="1:12">
      <c r="A129" s="2">
        <v>49100</v>
      </c>
      <c r="B129" t="s">
        <v>5</v>
      </c>
      <c r="C129">
        <v>41438.870000000003</v>
      </c>
      <c r="D129">
        <v>767.47</v>
      </c>
      <c r="E129">
        <v>150.22</v>
      </c>
      <c r="F129">
        <v>10.9</v>
      </c>
      <c r="G129">
        <v>928.59</v>
      </c>
      <c r="H129">
        <f t="shared" si="7"/>
        <v>2034</v>
      </c>
      <c r="I129">
        <f t="shared" si="11"/>
        <v>11144.310000000001</v>
      </c>
      <c r="J129">
        <f t="shared" si="8"/>
        <v>9227.090000000002</v>
      </c>
      <c r="K129">
        <f t="shared" si="9"/>
        <v>1785.19</v>
      </c>
      <c r="L129">
        <f t="shared" si="10"/>
        <v>132.03000000000003</v>
      </c>
    </row>
    <row r="130" spans="1:12">
      <c r="A130" s="2">
        <v>49130</v>
      </c>
      <c r="B130" t="s">
        <v>5</v>
      </c>
      <c r="C130">
        <v>40671.4</v>
      </c>
      <c r="D130">
        <v>770.26</v>
      </c>
      <c r="E130">
        <v>147.43</v>
      </c>
      <c r="F130">
        <v>10.9</v>
      </c>
      <c r="G130">
        <v>928.59</v>
      </c>
      <c r="H130">
        <f t="shared" si="7"/>
        <v>2034</v>
      </c>
      <c r="I130">
        <f t="shared" si="11"/>
        <v>11144.310000000001</v>
      </c>
      <c r="J130">
        <f t="shared" si="8"/>
        <v>9227.090000000002</v>
      </c>
      <c r="K130">
        <f t="shared" si="9"/>
        <v>1785.19</v>
      </c>
      <c r="L130">
        <f t="shared" si="10"/>
        <v>132.03000000000003</v>
      </c>
    </row>
    <row r="131" spans="1:12">
      <c r="A131" s="2">
        <v>49161</v>
      </c>
      <c r="B131" t="s">
        <v>5</v>
      </c>
      <c r="C131">
        <v>39901.14</v>
      </c>
      <c r="D131">
        <v>773.05</v>
      </c>
      <c r="E131">
        <v>144.63999999999999</v>
      </c>
      <c r="F131">
        <v>10.9</v>
      </c>
      <c r="G131">
        <v>928.59</v>
      </c>
      <c r="H131">
        <f t="shared" si="7"/>
        <v>2034</v>
      </c>
      <c r="I131">
        <f t="shared" si="11"/>
        <v>11144.310000000001</v>
      </c>
      <c r="J131">
        <f t="shared" si="8"/>
        <v>9227.090000000002</v>
      </c>
      <c r="K131">
        <f t="shared" si="9"/>
        <v>1785.19</v>
      </c>
      <c r="L131">
        <f t="shared" si="10"/>
        <v>132.03000000000003</v>
      </c>
    </row>
    <row r="132" spans="1:12">
      <c r="A132" s="2">
        <v>49192</v>
      </c>
      <c r="B132" t="s">
        <v>5</v>
      </c>
      <c r="C132">
        <v>39128.089999999997</v>
      </c>
      <c r="D132">
        <v>775.85</v>
      </c>
      <c r="E132">
        <v>141.84</v>
      </c>
      <c r="F132">
        <v>10.9</v>
      </c>
      <c r="G132">
        <v>928.59</v>
      </c>
      <c r="H132">
        <f t="shared" si="7"/>
        <v>2034</v>
      </c>
      <c r="I132">
        <f t="shared" si="11"/>
        <v>11144.310000000001</v>
      </c>
      <c r="J132">
        <f t="shared" si="8"/>
        <v>9227.090000000002</v>
      </c>
      <c r="K132">
        <f t="shared" si="9"/>
        <v>1785.19</v>
      </c>
      <c r="L132">
        <f t="shared" si="10"/>
        <v>132.03000000000003</v>
      </c>
    </row>
    <row r="133" spans="1:12">
      <c r="A133" s="2">
        <v>49222</v>
      </c>
      <c r="B133" t="s">
        <v>5</v>
      </c>
      <c r="C133">
        <v>38352.239999999998</v>
      </c>
      <c r="D133">
        <v>778.66</v>
      </c>
      <c r="E133">
        <v>139.03</v>
      </c>
      <c r="F133">
        <v>10.9</v>
      </c>
      <c r="G133">
        <v>928.59</v>
      </c>
      <c r="H133">
        <f t="shared" si="7"/>
        <v>2034</v>
      </c>
      <c r="I133">
        <f t="shared" si="11"/>
        <v>11144.310000000001</v>
      </c>
      <c r="J133">
        <f t="shared" si="8"/>
        <v>9227.090000000002</v>
      </c>
      <c r="K133">
        <f t="shared" si="9"/>
        <v>1785.19</v>
      </c>
      <c r="L133">
        <f t="shared" si="10"/>
        <v>132.03000000000003</v>
      </c>
    </row>
    <row r="134" spans="1:12">
      <c r="A134" s="2">
        <v>49253</v>
      </c>
      <c r="B134" t="s">
        <v>5</v>
      </c>
      <c r="C134">
        <v>37573.58</v>
      </c>
      <c r="D134">
        <v>781.49</v>
      </c>
      <c r="E134">
        <v>136.19999999999999</v>
      </c>
      <c r="F134">
        <v>10.9</v>
      </c>
      <c r="G134">
        <v>928.59</v>
      </c>
      <c r="H134">
        <f t="shared" si="7"/>
        <v>2034</v>
      </c>
      <c r="I134">
        <f t="shared" si="11"/>
        <v>11144.310000000001</v>
      </c>
      <c r="J134">
        <f t="shared" si="8"/>
        <v>9227.090000000002</v>
      </c>
      <c r="K134">
        <f t="shared" si="9"/>
        <v>1785.19</v>
      </c>
      <c r="L134">
        <f t="shared" si="10"/>
        <v>132.03000000000003</v>
      </c>
    </row>
    <row r="135" spans="1:12">
      <c r="A135" s="2">
        <v>49283</v>
      </c>
      <c r="B135" t="s">
        <v>5</v>
      </c>
      <c r="C135">
        <v>36792.089999999997</v>
      </c>
      <c r="D135">
        <v>784.32</v>
      </c>
      <c r="E135">
        <v>133.37</v>
      </c>
      <c r="F135">
        <v>10.9</v>
      </c>
      <c r="G135">
        <v>928.59</v>
      </c>
      <c r="H135">
        <f t="shared" si="7"/>
        <v>2034</v>
      </c>
      <c r="I135">
        <f t="shared" ref="I135:I166" si="12">SUMIF(H:H,H135,G:G)</f>
        <v>11144.310000000001</v>
      </c>
      <c r="J135">
        <f t="shared" si="8"/>
        <v>9227.090000000002</v>
      </c>
      <c r="K135">
        <f t="shared" si="9"/>
        <v>1785.19</v>
      </c>
      <c r="L135">
        <f t="shared" si="10"/>
        <v>132.03000000000003</v>
      </c>
    </row>
    <row r="136" spans="1:12">
      <c r="A136" s="2">
        <v>49314</v>
      </c>
      <c r="B136" t="s">
        <v>5</v>
      </c>
      <c r="C136">
        <v>36007.769999999997</v>
      </c>
      <c r="D136">
        <v>787.16</v>
      </c>
      <c r="E136">
        <v>130.53</v>
      </c>
      <c r="F136">
        <v>10.9</v>
      </c>
      <c r="G136">
        <v>928.59</v>
      </c>
      <c r="H136">
        <f t="shared" ref="H136:H178" si="13">YEAR(A136)</f>
        <v>2035</v>
      </c>
      <c r="I136">
        <f t="shared" si="12"/>
        <v>11136.779999999999</v>
      </c>
      <c r="J136">
        <f t="shared" ref="J136:J178" si="14">SUMIF(H:H,H136,D:D)</f>
        <v>9636.57</v>
      </c>
      <c r="K136">
        <f t="shared" ref="K136:K178" si="15">SUMIF(H:H,H136,E:E)</f>
        <v>1375.71</v>
      </c>
      <c r="L136">
        <f t="shared" ref="L136:L178" si="16">SUMIF(H:H,H136,F:F)</f>
        <v>124.50000000000003</v>
      </c>
    </row>
    <row r="137" spans="1:12">
      <c r="A137" s="2">
        <v>49345</v>
      </c>
      <c r="B137" t="s">
        <v>5</v>
      </c>
      <c r="C137">
        <v>35220.61</v>
      </c>
      <c r="D137">
        <v>790.02</v>
      </c>
      <c r="E137">
        <v>127.67</v>
      </c>
      <c r="F137">
        <v>10.9</v>
      </c>
      <c r="G137">
        <v>928.59</v>
      </c>
      <c r="H137">
        <f t="shared" si="13"/>
        <v>2035</v>
      </c>
      <c r="I137">
        <f t="shared" si="12"/>
        <v>11136.779999999999</v>
      </c>
      <c r="J137">
        <f t="shared" si="14"/>
        <v>9636.57</v>
      </c>
      <c r="K137">
        <f t="shared" si="15"/>
        <v>1375.71</v>
      </c>
      <c r="L137">
        <f t="shared" si="16"/>
        <v>124.50000000000003</v>
      </c>
    </row>
    <row r="138" spans="1:12">
      <c r="A138" s="2">
        <v>49373</v>
      </c>
      <c r="B138" t="s">
        <v>5</v>
      </c>
      <c r="C138">
        <v>34430.589999999997</v>
      </c>
      <c r="D138">
        <v>792.88</v>
      </c>
      <c r="E138">
        <v>124.81</v>
      </c>
      <c r="F138">
        <v>10.9</v>
      </c>
      <c r="G138">
        <v>928.59</v>
      </c>
      <c r="H138">
        <f t="shared" si="13"/>
        <v>2035</v>
      </c>
      <c r="I138">
        <f t="shared" si="12"/>
        <v>11136.779999999999</v>
      </c>
      <c r="J138">
        <f t="shared" si="14"/>
        <v>9636.57</v>
      </c>
      <c r="K138">
        <f t="shared" si="15"/>
        <v>1375.71</v>
      </c>
      <c r="L138">
        <f t="shared" si="16"/>
        <v>124.50000000000003</v>
      </c>
    </row>
    <row r="139" spans="1:12">
      <c r="A139" s="2">
        <v>49404</v>
      </c>
      <c r="B139" t="s">
        <v>5</v>
      </c>
      <c r="C139">
        <v>33637.71</v>
      </c>
      <c r="D139">
        <v>795.75</v>
      </c>
      <c r="E139">
        <v>121.94</v>
      </c>
      <c r="F139">
        <v>10.199999999999999</v>
      </c>
      <c r="G139">
        <v>927.89</v>
      </c>
      <c r="H139">
        <f t="shared" si="13"/>
        <v>2035</v>
      </c>
      <c r="I139">
        <f t="shared" si="12"/>
        <v>11136.779999999999</v>
      </c>
      <c r="J139">
        <f t="shared" si="14"/>
        <v>9636.57</v>
      </c>
      <c r="K139">
        <f t="shared" si="15"/>
        <v>1375.71</v>
      </c>
      <c r="L139">
        <f t="shared" si="16"/>
        <v>124.50000000000003</v>
      </c>
    </row>
    <row r="140" spans="1:12">
      <c r="A140" s="2">
        <v>49434</v>
      </c>
      <c r="B140" t="s">
        <v>5</v>
      </c>
      <c r="C140">
        <v>32841.96</v>
      </c>
      <c r="D140">
        <v>798.64</v>
      </c>
      <c r="E140">
        <v>119.05</v>
      </c>
      <c r="F140">
        <v>10.199999999999999</v>
      </c>
      <c r="G140">
        <v>927.89</v>
      </c>
      <c r="H140">
        <f t="shared" si="13"/>
        <v>2035</v>
      </c>
      <c r="I140">
        <f t="shared" si="12"/>
        <v>11136.779999999999</v>
      </c>
      <c r="J140">
        <f t="shared" si="14"/>
        <v>9636.57</v>
      </c>
      <c r="K140">
        <f t="shared" si="15"/>
        <v>1375.71</v>
      </c>
      <c r="L140">
        <f t="shared" si="16"/>
        <v>124.50000000000003</v>
      </c>
    </row>
    <row r="141" spans="1:12">
      <c r="A141" s="2">
        <v>49465</v>
      </c>
      <c r="B141" t="s">
        <v>5</v>
      </c>
      <c r="C141">
        <v>32043.32</v>
      </c>
      <c r="D141">
        <v>801.53</v>
      </c>
      <c r="E141">
        <v>116.16</v>
      </c>
      <c r="F141">
        <v>10.199999999999999</v>
      </c>
      <c r="G141">
        <v>927.89</v>
      </c>
      <c r="H141">
        <f t="shared" si="13"/>
        <v>2035</v>
      </c>
      <c r="I141">
        <f t="shared" si="12"/>
        <v>11136.779999999999</v>
      </c>
      <c r="J141">
        <f t="shared" si="14"/>
        <v>9636.57</v>
      </c>
      <c r="K141">
        <f t="shared" si="15"/>
        <v>1375.71</v>
      </c>
      <c r="L141">
        <f t="shared" si="16"/>
        <v>124.50000000000003</v>
      </c>
    </row>
    <row r="142" spans="1:12">
      <c r="A142" s="2">
        <v>49495</v>
      </c>
      <c r="B142" t="s">
        <v>5</v>
      </c>
      <c r="C142">
        <v>31241.79</v>
      </c>
      <c r="D142">
        <v>804.44</v>
      </c>
      <c r="E142">
        <v>113.25</v>
      </c>
      <c r="F142">
        <v>10.199999999999999</v>
      </c>
      <c r="G142">
        <v>927.89</v>
      </c>
      <c r="H142">
        <f t="shared" si="13"/>
        <v>2035</v>
      </c>
      <c r="I142">
        <f t="shared" si="12"/>
        <v>11136.779999999999</v>
      </c>
      <c r="J142">
        <f t="shared" si="14"/>
        <v>9636.57</v>
      </c>
      <c r="K142">
        <f t="shared" si="15"/>
        <v>1375.71</v>
      </c>
      <c r="L142">
        <f t="shared" si="16"/>
        <v>124.50000000000003</v>
      </c>
    </row>
    <row r="143" spans="1:12">
      <c r="A143" s="2">
        <v>49526</v>
      </c>
      <c r="B143" t="s">
        <v>5</v>
      </c>
      <c r="C143">
        <v>30437.35</v>
      </c>
      <c r="D143">
        <v>807.35</v>
      </c>
      <c r="E143">
        <v>110.34</v>
      </c>
      <c r="F143">
        <v>10.199999999999999</v>
      </c>
      <c r="G143">
        <v>927.89</v>
      </c>
      <c r="H143">
        <f t="shared" si="13"/>
        <v>2035</v>
      </c>
      <c r="I143">
        <f t="shared" si="12"/>
        <v>11136.779999999999</v>
      </c>
      <c r="J143">
        <f t="shared" si="14"/>
        <v>9636.57</v>
      </c>
      <c r="K143">
        <f t="shared" si="15"/>
        <v>1375.71</v>
      </c>
      <c r="L143">
        <f t="shared" si="16"/>
        <v>124.50000000000003</v>
      </c>
    </row>
    <row r="144" spans="1:12">
      <c r="A144" s="2">
        <v>49557</v>
      </c>
      <c r="B144" t="s">
        <v>5</v>
      </c>
      <c r="C144">
        <v>29630</v>
      </c>
      <c r="D144">
        <v>810.28</v>
      </c>
      <c r="E144">
        <v>107.41</v>
      </c>
      <c r="F144">
        <v>10.199999999999999</v>
      </c>
      <c r="G144">
        <v>927.89</v>
      </c>
      <c r="H144">
        <f t="shared" si="13"/>
        <v>2035</v>
      </c>
      <c r="I144">
        <f t="shared" si="12"/>
        <v>11136.779999999999</v>
      </c>
      <c r="J144">
        <f t="shared" si="14"/>
        <v>9636.57</v>
      </c>
      <c r="K144">
        <f t="shared" si="15"/>
        <v>1375.71</v>
      </c>
      <c r="L144">
        <f t="shared" si="16"/>
        <v>124.50000000000003</v>
      </c>
    </row>
    <row r="145" spans="1:12">
      <c r="A145" s="2">
        <v>49587</v>
      </c>
      <c r="B145" t="s">
        <v>5</v>
      </c>
      <c r="C145">
        <v>28819.72</v>
      </c>
      <c r="D145">
        <v>813.22</v>
      </c>
      <c r="E145">
        <v>104.47</v>
      </c>
      <c r="F145">
        <v>10.199999999999999</v>
      </c>
      <c r="G145">
        <v>927.89</v>
      </c>
      <c r="H145">
        <f t="shared" si="13"/>
        <v>2035</v>
      </c>
      <c r="I145">
        <f t="shared" si="12"/>
        <v>11136.779999999999</v>
      </c>
      <c r="J145">
        <f t="shared" si="14"/>
        <v>9636.57</v>
      </c>
      <c r="K145">
        <f t="shared" si="15"/>
        <v>1375.71</v>
      </c>
      <c r="L145">
        <f t="shared" si="16"/>
        <v>124.50000000000003</v>
      </c>
    </row>
    <row r="146" spans="1:12">
      <c r="A146" s="2">
        <v>49618</v>
      </c>
      <c r="B146" t="s">
        <v>5</v>
      </c>
      <c r="C146">
        <v>28006.5</v>
      </c>
      <c r="D146">
        <v>816.17</v>
      </c>
      <c r="E146">
        <v>101.52</v>
      </c>
      <c r="F146">
        <v>10.199999999999999</v>
      </c>
      <c r="G146">
        <v>927.89</v>
      </c>
      <c r="H146">
        <f t="shared" si="13"/>
        <v>2035</v>
      </c>
      <c r="I146">
        <f t="shared" si="12"/>
        <v>11136.779999999999</v>
      </c>
      <c r="J146">
        <f t="shared" si="14"/>
        <v>9636.57</v>
      </c>
      <c r="K146">
        <f t="shared" si="15"/>
        <v>1375.71</v>
      </c>
      <c r="L146">
        <f t="shared" si="16"/>
        <v>124.50000000000003</v>
      </c>
    </row>
    <row r="147" spans="1:12">
      <c r="A147" s="2">
        <v>49648</v>
      </c>
      <c r="B147" t="s">
        <v>5</v>
      </c>
      <c r="C147">
        <v>27190.33</v>
      </c>
      <c r="D147">
        <v>819.13</v>
      </c>
      <c r="E147">
        <v>98.56</v>
      </c>
      <c r="F147">
        <v>10.199999999999999</v>
      </c>
      <c r="G147">
        <v>927.89</v>
      </c>
      <c r="H147">
        <f t="shared" si="13"/>
        <v>2035</v>
      </c>
      <c r="I147">
        <f t="shared" si="12"/>
        <v>11136.779999999999</v>
      </c>
      <c r="J147">
        <f t="shared" si="14"/>
        <v>9636.57</v>
      </c>
      <c r="K147">
        <f t="shared" si="15"/>
        <v>1375.71</v>
      </c>
      <c r="L147">
        <f t="shared" si="16"/>
        <v>124.50000000000003</v>
      </c>
    </row>
    <row r="148" spans="1:12">
      <c r="A148" s="2">
        <v>49679</v>
      </c>
      <c r="B148" t="s">
        <v>5</v>
      </c>
      <c r="C148">
        <v>26371.200000000001</v>
      </c>
      <c r="D148">
        <v>822.09</v>
      </c>
      <c r="E148">
        <v>95.6</v>
      </c>
      <c r="F148">
        <v>10.199999999999999</v>
      </c>
      <c r="G148">
        <v>927.89</v>
      </c>
      <c r="H148">
        <f t="shared" si="13"/>
        <v>2036</v>
      </c>
      <c r="I148">
        <f t="shared" si="12"/>
        <v>11126.94</v>
      </c>
      <c r="J148">
        <f t="shared" si="14"/>
        <v>10064.219999999999</v>
      </c>
      <c r="K148">
        <f t="shared" si="15"/>
        <v>948.06000000000006</v>
      </c>
      <c r="L148">
        <f t="shared" si="16"/>
        <v>114.66000000000003</v>
      </c>
    </row>
    <row r="149" spans="1:12">
      <c r="A149" s="2">
        <v>49710</v>
      </c>
      <c r="B149" t="s">
        <v>5</v>
      </c>
      <c r="C149">
        <v>25549.11</v>
      </c>
      <c r="D149">
        <v>825.07</v>
      </c>
      <c r="E149">
        <v>92.62</v>
      </c>
      <c r="F149">
        <v>10.199999999999999</v>
      </c>
      <c r="G149">
        <v>927.89</v>
      </c>
      <c r="H149">
        <f t="shared" si="13"/>
        <v>2036</v>
      </c>
      <c r="I149">
        <f t="shared" si="12"/>
        <v>11126.94</v>
      </c>
      <c r="J149">
        <f t="shared" si="14"/>
        <v>10064.219999999999</v>
      </c>
      <c r="K149">
        <f t="shared" si="15"/>
        <v>948.06000000000006</v>
      </c>
      <c r="L149">
        <f t="shared" si="16"/>
        <v>114.66000000000003</v>
      </c>
    </row>
    <row r="150" spans="1:12">
      <c r="A150" s="2">
        <v>49739</v>
      </c>
      <c r="B150" t="s">
        <v>5</v>
      </c>
      <c r="C150">
        <v>24724.04</v>
      </c>
      <c r="D150">
        <v>828.07</v>
      </c>
      <c r="E150">
        <v>89.62</v>
      </c>
      <c r="F150">
        <v>10.199999999999999</v>
      </c>
      <c r="G150">
        <v>927.89</v>
      </c>
      <c r="H150">
        <f t="shared" si="13"/>
        <v>2036</v>
      </c>
      <c r="I150">
        <f t="shared" si="12"/>
        <v>11126.94</v>
      </c>
      <c r="J150">
        <f t="shared" si="14"/>
        <v>10064.219999999999</v>
      </c>
      <c r="K150">
        <f t="shared" si="15"/>
        <v>948.06000000000006</v>
      </c>
      <c r="L150">
        <f t="shared" si="16"/>
        <v>114.66000000000003</v>
      </c>
    </row>
    <row r="151" spans="1:12">
      <c r="A151" s="2">
        <v>49770</v>
      </c>
      <c r="B151" t="s">
        <v>5</v>
      </c>
      <c r="C151">
        <v>23895.97</v>
      </c>
      <c r="D151">
        <v>831.07</v>
      </c>
      <c r="E151">
        <v>86.62</v>
      </c>
      <c r="F151">
        <v>9.34</v>
      </c>
      <c r="G151">
        <v>927.03</v>
      </c>
      <c r="H151">
        <f t="shared" si="13"/>
        <v>2036</v>
      </c>
      <c r="I151">
        <f t="shared" si="12"/>
        <v>11126.94</v>
      </c>
      <c r="J151">
        <f t="shared" si="14"/>
        <v>10064.219999999999</v>
      </c>
      <c r="K151">
        <f t="shared" si="15"/>
        <v>948.06000000000006</v>
      </c>
      <c r="L151">
        <f t="shared" si="16"/>
        <v>114.66000000000003</v>
      </c>
    </row>
    <row r="152" spans="1:12">
      <c r="A152" s="2">
        <v>49800</v>
      </c>
      <c r="B152" t="s">
        <v>5</v>
      </c>
      <c r="C152">
        <v>23064.9</v>
      </c>
      <c r="D152">
        <v>834.08</v>
      </c>
      <c r="E152">
        <v>83.61</v>
      </c>
      <c r="F152">
        <v>9.34</v>
      </c>
      <c r="G152">
        <v>927.03</v>
      </c>
      <c r="H152">
        <f t="shared" si="13"/>
        <v>2036</v>
      </c>
      <c r="I152">
        <f t="shared" si="12"/>
        <v>11126.94</v>
      </c>
      <c r="J152">
        <f t="shared" si="14"/>
        <v>10064.219999999999</v>
      </c>
      <c r="K152">
        <f t="shared" si="15"/>
        <v>948.06000000000006</v>
      </c>
      <c r="L152">
        <f t="shared" si="16"/>
        <v>114.66000000000003</v>
      </c>
    </row>
    <row r="153" spans="1:12">
      <c r="A153" s="2">
        <v>49831</v>
      </c>
      <c r="B153" t="s">
        <v>5</v>
      </c>
      <c r="C153">
        <v>22230.82</v>
      </c>
      <c r="D153">
        <v>837.1</v>
      </c>
      <c r="E153">
        <v>80.59</v>
      </c>
      <c r="F153">
        <v>9.34</v>
      </c>
      <c r="G153">
        <v>927.03</v>
      </c>
      <c r="H153">
        <f t="shared" si="13"/>
        <v>2036</v>
      </c>
      <c r="I153">
        <f t="shared" si="12"/>
        <v>11126.94</v>
      </c>
      <c r="J153">
        <f t="shared" si="14"/>
        <v>10064.219999999999</v>
      </c>
      <c r="K153">
        <f t="shared" si="15"/>
        <v>948.06000000000006</v>
      </c>
      <c r="L153">
        <f t="shared" si="16"/>
        <v>114.66000000000003</v>
      </c>
    </row>
    <row r="154" spans="1:12">
      <c r="A154" s="2">
        <v>49861</v>
      </c>
      <c r="B154" t="s">
        <v>5</v>
      </c>
      <c r="C154">
        <v>21393.72</v>
      </c>
      <c r="D154">
        <v>840.14</v>
      </c>
      <c r="E154">
        <v>77.55</v>
      </c>
      <c r="F154">
        <v>9.34</v>
      </c>
      <c r="G154">
        <v>927.03</v>
      </c>
      <c r="H154">
        <f t="shared" si="13"/>
        <v>2036</v>
      </c>
      <c r="I154">
        <f t="shared" si="12"/>
        <v>11126.94</v>
      </c>
      <c r="J154">
        <f t="shared" si="14"/>
        <v>10064.219999999999</v>
      </c>
      <c r="K154">
        <f t="shared" si="15"/>
        <v>948.06000000000006</v>
      </c>
      <c r="L154">
        <f t="shared" si="16"/>
        <v>114.66000000000003</v>
      </c>
    </row>
    <row r="155" spans="1:12">
      <c r="A155" s="2">
        <v>49892</v>
      </c>
      <c r="B155" t="s">
        <v>5</v>
      </c>
      <c r="C155">
        <v>20553.580000000002</v>
      </c>
      <c r="D155">
        <v>843.18</v>
      </c>
      <c r="E155">
        <v>74.510000000000005</v>
      </c>
      <c r="F155">
        <v>9.34</v>
      </c>
      <c r="G155">
        <v>927.03</v>
      </c>
      <c r="H155">
        <f t="shared" si="13"/>
        <v>2036</v>
      </c>
      <c r="I155">
        <f t="shared" si="12"/>
        <v>11126.94</v>
      </c>
      <c r="J155">
        <f t="shared" si="14"/>
        <v>10064.219999999999</v>
      </c>
      <c r="K155">
        <f t="shared" si="15"/>
        <v>948.06000000000006</v>
      </c>
      <c r="L155">
        <f t="shared" si="16"/>
        <v>114.66000000000003</v>
      </c>
    </row>
    <row r="156" spans="1:12">
      <c r="A156" s="2">
        <v>49923</v>
      </c>
      <c r="B156" t="s">
        <v>5</v>
      </c>
      <c r="C156">
        <v>19710.400000000001</v>
      </c>
      <c r="D156">
        <v>846.24</v>
      </c>
      <c r="E156">
        <v>71.45</v>
      </c>
      <c r="F156">
        <v>9.34</v>
      </c>
      <c r="G156">
        <v>927.03</v>
      </c>
      <c r="H156">
        <f t="shared" si="13"/>
        <v>2036</v>
      </c>
      <c r="I156">
        <f t="shared" si="12"/>
        <v>11126.94</v>
      </c>
      <c r="J156">
        <f t="shared" si="14"/>
        <v>10064.219999999999</v>
      </c>
      <c r="K156">
        <f t="shared" si="15"/>
        <v>948.06000000000006</v>
      </c>
      <c r="L156">
        <f t="shared" si="16"/>
        <v>114.66000000000003</v>
      </c>
    </row>
    <row r="157" spans="1:12">
      <c r="A157" s="2">
        <v>49953</v>
      </c>
      <c r="B157" t="s">
        <v>5</v>
      </c>
      <c r="C157">
        <v>18864.16</v>
      </c>
      <c r="D157">
        <v>849.31</v>
      </c>
      <c r="E157">
        <v>68.38</v>
      </c>
      <c r="F157">
        <v>9.34</v>
      </c>
      <c r="G157">
        <v>927.03</v>
      </c>
      <c r="H157">
        <f t="shared" si="13"/>
        <v>2036</v>
      </c>
      <c r="I157">
        <f t="shared" si="12"/>
        <v>11126.94</v>
      </c>
      <c r="J157">
        <f t="shared" si="14"/>
        <v>10064.219999999999</v>
      </c>
      <c r="K157">
        <f t="shared" si="15"/>
        <v>948.06000000000006</v>
      </c>
      <c r="L157">
        <f t="shared" si="16"/>
        <v>114.66000000000003</v>
      </c>
    </row>
    <row r="158" spans="1:12">
      <c r="A158" s="2">
        <v>49984</v>
      </c>
      <c r="B158" t="s">
        <v>5</v>
      </c>
      <c r="C158">
        <v>18014.849999999999</v>
      </c>
      <c r="D158">
        <v>852.39</v>
      </c>
      <c r="E158">
        <v>65.3</v>
      </c>
      <c r="F158">
        <v>9.34</v>
      </c>
      <c r="G158">
        <v>927.03</v>
      </c>
      <c r="H158">
        <f t="shared" si="13"/>
        <v>2036</v>
      </c>
      <c r="I158">
        <f t="shared" si="12"/>
        <v>11126.94</v>
      </c>
      <c r="J158">
        <f t="shared" si="14"/>
        <v>10064.219999999999</v>
      </c>
      <c r="K158">
        <f t="shared" si="15"/>
        <v>948.06000000000006</v>
      </c>
      <c r="L158">
        <f t="shared" si="16"/>
        <v>114.66000000000003</v>
      </c>
    </row>
    <row r="159" spans="1:12">
      <c r="A159" s="2">
        <v>50014</v>
      </c>
      <c r="B159" t="s">
        <v>5</v>
      </c>
      <c r="C159">
        <v>17162.46</v>
      </c>
      <c r="D159">
        <v>855.48</v>
      </c>
      <c r="E159">
        <v>62.21</v>
      </c>
      <c r="F159">
        <v>9.34</v>
      </c>
      <c r="G159">
        <v>927.03</v>
      </c>
      <c r="H159">
        <f t="shared" si="13"/>
        <v>2036</v>
      </c>
      <c r="I159">
        <f t="shared" si="12"/>
        <v>11126.94</v>
      </c>
      <c r="J159">
        <f t="shared" si="14"/>
        <v>10064.219999999999</v>
      </c>
      <c r="K159">
        <f t="shared" si="15"/>
        <v>948.06000000000006</v>
      </c>
      <c r="L159">
        <f t="shared" si="16"/>
        <v>114.66000000000003</v>
      </c>
    </row>
    <row r="160" spans="1:12">
      <c r="A160" s="2">
        <v>50045</v>
      </c>
      <c r="B160" t="s">
        <v>5</v>
      </c>
      <c r="C160">
        <v>16306.98</v>
      </c>
      <c r="D160">
        <v>858.58</v>
      </c>
      <c r="E160">
        <v>59.11</v>
      </c>
      <c r="F160">
        <v>9.34</v>
      </c>
      <c r="G160">
        <v>927.03</v>
      </c>
      <c r="H160">
        <f t="shared" si="13"/>
        <v>2037</v>
      </c>
      <c r="I160">
        <f t="shared" si="12"/>
        <v>11108.430000000002</v>
      </c>
      <c r="J160">
        <f t="shared" si="14"/>
        <v>10510.83</v>
      </c>
      <c r="K160">
        <f t="shared" si="15"/>
        <v>501.45</v>
      </c>
      <c r="L160">
        <f t="shared" si="16"/>
        <v>96.149999999999977</v>
      </c>
    </row>
    <row r="161" spans="1:12">
      <c r="A161" s="2">
        <v>50076</v>
      </c>
      <c r="B161" t="s">
        <v>5</v>
      </c>
      <c r="C161">
        <v>15448.4</v>
      </c>
      <c r="D161">
        <v>861.69</v>
      </c>
      <c r="E161">
        <v>56</v>
      </c>
      <c r="F161">
        <v>9.34</v>
      </c>
      <c r="G161">
        <v>927.03</v>
      </c>
      <c r="H161">
        <f t="shared" si="13"/>
        <v>2037</v>
      </c>
      <c r="I161">
        <f t="shared" si="12"/>
        <v>11108.430000000002</v>
      </c>
      <c r="J161">
        <f t="shared" si="14"/>
        <v>10510.83</v>
      </c>
      <c r="K161">
        <f t="shared" si="15"/>
        <v>501.45</v>
      </c>
      <c r="L161">
        <f t="shared" si="16"/>
        <v>96.149999999999977</v>
      </c>
    </row>
    <row r="162" spans="1:12">
      <c r="A162" s="2">
        <v>50104</v>
      </c>
      <c r="B162" t="s">
        <v>5</v>
      </c>
      <c r="C162">
        <v>14586.71</v>
      </c>
      <c r="D162">
        <v>864.81</v>
      </c>
      <c r="E162">
        <v>52.88</v>
      </c>
      <c r="F162">
        <v>9.34</v>
      </c>
      <c r="G162">
        <v>927.03</v>
      </c>
      <c r="H162">
        <f t="shared" si="13"/>
        <v>2037</v>
      </c>
      <c r="I162">
        <f t="shared" si="12"/>
        <v>11108.430000000002</v>
      </c>
      <c r="J162">
        <f t="shared" si="14"/>
        <v>10510.83</v>
      </c>
      <c r="K162">
        <f t="shared" si="15"/>
        <v>501.45</v>
      </c>
      <c r="L162">
        <f t="shared" si="16"/>
        <v>96.149999999999977</v>
      </c>
    </row>
    <row r="163" spans="1:12">
      <c r="A163" s="2">
        <v>50135</v>
      </c>
      <c r="B163" t="s">
        <v>5</v>
      </c>
      <c r="C163">
        <v>13721.9</v>
      </c>
      <c r="D163">
        <v>867.95</v>
      </c>
      <c r="E163">
        <v>49.74</v>
      </c>
      <c r="F163">
        <v>7.57</v>
      </c>
      <c r="G163">
        <v>925.26</v>
      </c>
      <c r="H163">
        <f t="shared" si="13"/>
        <v>2037</v>
      </c>
      <c r="I163">
        <f t="shared" si="12"/>
        <v>11108.430000000002</v>
      </c>
      <c r="J163">
        <f t="shared" si="14"/>
        <v>10510.83</v>
      </c>
      <c r="K163">
        <f t="shared" si="15"/>
        <v>501.45</v>
      </c>
      <c r="L163">
        <f t="shared" si="16"/>
        <v>96.149999999999977</v>
      </c>
    </row>
    <row r="164" spans="1:12">
      <c r="A164" s="2">
        <v>50165</v>
      </c>
      <c r="B164" t="s">
        <v>5</v>
      </c>
      <c r="C164">
        <v>12853.95</v>
      </c>
      <c r="D164">
        <v>871.09</v>
      </c>
      <c r="E164">
        <v>46.6</v>
      </c>
      <c r="F164">
        <v>7.57</v>
      </c>
      <c r="G164">
        <v>925.26</v>
      </c>
      <c r="H164">
        <f t="shared" si="13"/>
        <v>2037</v>
      </c>
      <c r="I164">
        <f t="shared" si="12"/>
        <v>11108.430000000002</v>
      </c>
      <c r="J164">
        <f t="shared" si="14"/>
        <v>10510.83</v>
      </c>
      <c r="K164">
        <f t="shared" si="15"/>
        <v>501.45</v>
      </c>
      <c r="L164">
        <f t="shared" si="16"/>
        <v>96.149999999999977</v>
      </c>
    </row>
    <row r="165" spans="1:12">
      <c r="A165" s="2">
        <v>50196</v>
      </c>
      <c r="B165" t="s">
        <v>5</v>
      </c>
      <c r="C165">
        <v>11982.86</v>
      </c>
      <c r="D165">
        <v>874.25</v>
      </c>
      <c r="E165">
        <v>43.44</v>
      </c>
      <c r="F165">
        <v>7.57</v>
      </c>
      <c r="G165">
        <v>925.26</v>
      </c>
      <c r="H165">
        <f t="shared" si="13"/>
        <v>2037</v>
      </c>
      <c r="I165">
        <f t="shared" si="12"/>
        <v>11108.430000000002</v>
      </c>
      <c r="J165">
        <f t="shared" si="14"/>
        <v>10510.83</v>
      </c>
      <c r="K165">
        <f t="shared" si="15"/>
        <v>501.45</v>
      </c>
      <c r="L165">
        <f t="shared" si="16"/>
        <v>96.149999999999977</v>
      </c>
    </row>
    <row r="166" spans="1:12">
      <c r="A166" s="2">
        <v>50226</v>
      </c>
      <c r="B166" t="s">
        <v>5</v>
      </c>
      <c r="C166">
        <v>11108.61</v>
      </c>
      <c r="D166">
        <v>877.42</v>
      </c>
      <c r="E166">
        <v>40.270000000000003</v>
      </c>
      <c r="F166">
        <v>7.57</v>
      </c>
      <c r="G166">
        <v>925.26</v>
      </c>
      <c r="H166">
        <f t="shared" si="13"/>
        <v>2037</v>
      </c>
      <c r="I166">
        <f t="shared" si="12"/>
        <v>11108.430000000002</v>
      </c>
      <c r="J166">
        <f t="shared" si="14"/>
        <v>10510.83</v>
      </c>
      <c r="K166">
        <f t="shared" si="15"/>
        <v>501.45</v>
      </c>
      <c r="L166">
        <f t="shared" si="16"/>
        <v>96.149999999999977</v>
      </c>
    </row>
    <row r="167" spans="1:12">
      <c r="A167" s="2">
        <v>50257</v>
      </c>
      <c r="B167" t="s">
        <v>5</v>
      </c>
      <c r="C167">
        <v>10231.19</v>
      </c>
      <c r="D167">
        <v>880.6</v>
      </c>
      <c r="E167">
        <v>37.090000000000003</v>
      </c>
      <c r="F167">
        <v>7.57</v>
      </c>
      <c r="G167">
        <v>925.26</v>
      </c>
      <c r="H167">
        <f t="shared" si="13"/>
        <v>2037</v>
      </c>
      <c r="I167">
        <f t="shared" ref="I167:I178" si="17">SUMIF(H:H,H167,G:G)</f>
        <v>11108.430000000002</v>
      </c>
      <c r="J167">
        <f t="shared" si="14"/>
        <v>10510.83</v>
      </c>
      <c r="K167">
        <f t="shared" si="15"/>
        <v>501.45</v>
      </c>
      <c r="L167">
        <f t="shared" si="16"/>
        <v>96.149999999999977</v>
      </c>
    </row>
    <row r="168" spans="1:12">
      <c r="A168" s="2">
        <v>50288</v>
      </c>
      <c r="B168" t="s">
        <v>5</v>
      </c>
      <c r="C168">
        <v>9350.59</v>
      </c>
      <c r="D168">
        <v>883.79</v>
      </c>
      <c r="E168">
        <v>33.9</v>
      </c>
      <c r="F168">
        <v>7.57</v>
      </c>
      <c r="G168">
        <v>925.26</v>
      </c>
      <c r="H168">
        <f t="shared" si="13"/>
        <v>2037</v>
      </c>
      <c r="I168">
        <f t="shared" si="17"/>
        <v>11108.430000000002</v>
      </c>
      <c r="J168">
        <f t="shared" si="14"/>
        <v>10510.83</v>
      </c>
      <c r="K168">
        <f t="shared" si="15"/>
        <v>501.45</v>
      </c>
      <c r="L168">
        <f t="shared" si="16"/>
        <v>96.149999999999977</v>
      </c>
    </row>
    <row r="169" spans="1:12">
      <c r="A169" s="2">
        <v>50318</v>
      </c>
      <c r="B169" t="s">
        <v>5</v>
      </c>
      <c r="C169">
        <v>8466.7999999999993</v>
      </c>
      <c r="D169">
        <v>887</v>
      </c>
      <c r="E169">
        <v>30.69</v>
      </c>
      <c r="F169">
        <v>7.57</v>
      </c>
      <c r="G169">
        <v>925.26</v>
      </c>
      <c r="H169">
        <f t="shared" si="13"/>
        <v>2037</v>
      </c>
      <c r="I169">
        <f t="shared" si="17"/>
        <v>11108.430000000002</v>
      </c>
      <c r="J169">
        <f t="shared" si="14"/>
        <v>10510.83</v>
      </c>
      <c r="K169">
        <f t="shared" si="15"/>
        <v>501.45</v>
      </c>
      <c r="L169">
        <f t="shared" si="16"/>
        <v>96.149999999999977</v>
      </c>
    </row>
    <row r="170" spans="1:12">
      <c r="A170" s="2">
        <v>50349</v>
      </c>
      <c r="B170" t="s">
        <v>5</v>
      </c>
      <c r="C170">
        <v>7579.8</v>
      </c>
      <c r="D170">
        <v>890.21</v>
      </c>
      <c r="E170">
        <v>27.48</v>
      </c>
      <c r="F170">
        <v>7.57</v>
      </c>
      <c r="G170">
        <v>925.26</v>
      </c>
      <c r="H170">
        <f t="shared" si="13"/>
        <v>2037</v>
      </c>
      <c r="I170">
        <f t="shared" si="17"/>
        <v>11108.430000000002</v>
      </c>
      <c r="J170">
        <f t="shared" si="14"/>
        <v>10510.83</v>
      </c>
      <c r="K170">
        <f t="shared" si="15"/>
        <v>501.45</v>
      </c>
      <c r="L170">
        <f t="shared" si="16"/>
        <v>96.149999999999977</v>
      </c>
    </row>
    <row r="171" spans="1:12">
      <c r="A171" s="2">
        <v>50379</v>
      </c>
      <c r="B171" t="s">
        <v>5</v>
      </c>
      <c r="C171">
        <v>6689.59</v>
      </c>
      <c r="D171">
        <v>893.44</v>
      </c>
      <c r="E171">
        <v>24.25</v>
      </c>
      <c r="F171">
        <v>7.57</v>
      </c>
      <c r="G171">
        <v>925.26</v>
      </c>
      <c r="H171">
        <f t="shared" si="13"/>
        <v>2037</v>
      </c>
      <c r="I171">
        <f t="shared" si="17"/>
        <v>11108.430000000002</v>
      </c>
      <c r="J171">
        <f t="shared" si="14"/>
        <v>10510.83</v>
      </c>
      <c r="K171">
        <f t="shared" si="15"/>
        <v>501.45</v>
      </c>
      <c r="L171">
        <f t="shared" si="16"/>
        <v>96.149999999999977</v>
      </c>
    </row>
    <row r="172" spans="1:12">
      <c r="A172" s="2">
        <v>50410</v>
      </c>
      <c r="B172" t="s">
        <v>5</v>
      </c>
      <c r="C172">
        <v>5796.15</v>
      </c>
      <c r="D172">
        <v>896.68</v>
      </c>
      <c r="E172">
        <v>21.01</v>
      </c>
      <c r="F172">
        <v>7.57</v>
      </c>
      <c r="G172">
        <v>925.26</v>
      </c>
      <c r="H172">
        <f t="shared" si="13"/>
        <v>2038</v>
      </c>
      <c r="I172">
        <f t="shared" si="17"/>
        <v>5547.0199999999995</v>
      </c>
      <c r="J172">
        <f t="shared" si="14"/>
        <v>5429.0700000000006</v>
      </c>
      <c r="K172">
        <f t="shared" si="15"/>
        <v>78.400000000000006</v>
      </c>
      <c r="L172">
        <f t="shared" si="16"/>
        <v>39.550000000000004</v>
      </c>
    </row>
    <row r="173" spans="1:12">
      <c r="A173" s="2">
        <v>50441</v>
      </c>
      <c r="B173" t="s">
        <v>5</v>
      </c>
      <c r="C173">
        <v>4899.47</v>
      </c>
      <c r="D173">
        <v>899.93</v>
      </c>
      <c r="E173">
        <v>17.760000000000002</v>
      </c>
      <c r="F173">
        <v>7.57</v>
      </c>
      <c r="G173">
        <v>925.26</v>
      </c>
      <c r="H173">
        <f t="shared" si="13"/>
        <v>2038</v>
      </c>
      <c r="I173">
        <f t="shared" si="17"/>
        <v>5547.0199999999995</v>
      </c>
      <c r="J173">
        <f t="shared" si="14"/>
        <v>5429.0700000000006</v>
      </c>
      <c r="K173">
        <f t="shared" si="15"/>
        <v>78.400000000000006</v>
      </c>
      <c r="L173">
        <f t="shared" si="16"/>
        <v>39.550000000000004</v>
      </c>
    </row>
    <row r="174" spans="1:12">
      <c r="A174" s="2">
        <v>50469</v>
      </c>
      <c r="B174" t="s">
        <v>5</v>
      </c>
      <c r="C174">
        <v>3999.54</v>
      </c>
      <c r="D174">
        <v>903.19</v>
      </c>
      <c r="E174">
        <v>14.5</v>
      </c>
      <c r="F174">
        <v>7.57</v>
      </c>
      <c r="G174">
        <v>925.26</v>
      </c>
      <c r="H174">
        <f t="shared" si="13"/>
        <v>2038</v>
      </c>
      <c r="I174">
        <f t="shared" si="17"/>
        <v>5547.0199999999995</v>
      </c>
      <c r="J174">
        <f t="shared" si="14"/>
        <v>5429.0700000000006</v>
      </c>
      <c r="K174">
        <f t="shared" si="15"/>
        <v>78.400000000000006</v>
      </c>
      <c r="L174">
        <f t="shared" si="16"/>
        <v>39.550000000000004</v>
      </c>
    </row>
    <row r="175" spans="1:12">
      <c r="A175" s="2">
        <v>50500</v>
      </c>
      <c r="B175" t="s">
        <v>5</v>
      </c>
      <c r="C175">
        <v>3096.35</v>
      </c>
      <c r="D175">
        <v>906.47</v>
      </c>
      <c r="E175">
        <v>11.22</v>
      </c>
      <c r="F175">
        <v>4.21</v>
      </c>
      <c r="G175">
        <v>921.9</v>
      </c>
      <c r="H175">
        <f t="shared" si="13"/>
        <v>2038</v>
      </c>
      <c r="I175">
        <f t="shared" si="17"/>
        <v>5547.0199999999995</v>
      </c>
      <c r="J175">
        <f t="shared" si="14"/>
        <v>5429.0700000000006</v>
      </c>
      <c r="K175">
        <f t="shared" si="15"/>
        <v>78.400000000000006</v>
      </c>
      <c r="L175">
        <f t="shared" si="16"/>
        <v>39.550000000000004</v>
      </c>
    </row>
    <row r="176" spans="1:12">
      <c r="A176" s="2">
        <v>50530</v>
      </c>
      <c r="B176" t="s">
        <v>5</v>
      </c>
      <c r="C176">
        <v>2189.88</v>
      </c>
      <c r="D176">
        <v>909.75</v>
      </c>
      <c r="E176">
        <v>7.94</v>
      </c>
      <c r="F176">
        <v>4.21</v>
      </c>
      <c r="G176">
        <v>921.9</v>
      </c>
      <c r="H176">
        <f t="shared" si="13"/>
        <v>2038</v>
      </c>
      <c r="I176">
        <f t="shared" si="17"/>
        <v>5547.0199999999995</v>
      </c>
      <c r="J176">
        <f t="shared" si="14"/>
        <v>5429.0700000000006</v>
      </c>
      <c r="K176">
        <f t="shared" si="15"/>
        <v>78.400000000000006</v>
      </c>
      <c r="L176">
        <f t="shared" si="16"/>
        <v>39.550000000000004</v>
      </c>
    </row>
    <row r="177" spans="1:12">
      <c r="A177" s="2">
        <v>50561</v>
      </c>
      <c r="B177" t="s">
        <v>5</v>
      </c>
      <c r="C177">
        <v>1280.1300000000001</v>
      </c>
      <c r="D177">
        <v>913.05</v>
      </c>
      <c r="E177">
        <v>4.6399999999999997</v>
      </c>
      <c r="F177">
        <v>4.21</v>
      </c>
      <c r="G177">
        <v>921.9</v>
      </c>
      <c r="H177">
        <f t="shared" si="13"/>
        <v>2038</v>
      </c>
      <c r="I177">
        <f t="shared" si="17"/>
        <v>5547.0199999999995</v>
      </c>
      <c r="J177">
        <f t="shared" si="14"/>
        <v>5429.0700000000006</v>
      </c>
      <c r="K177">
        <f t="shared" si="15"/>
        <v>78.400000000000006</v>
      </c>
      <c r="L177">
        <f t="shared" si="16"/>
        <v>39.550000000000004</v>
      </c>
    </row>
    <row r="178" spans="1:12">
      <c r="A178" s="2">
        <v>50591</v>
      </c>
      <c r="B178" t="s">
        <v>5</v>
      </c>
      <c r="C178">
        <v>367.08</v>
      </c>
      <c r="D178">
        <v>0</v>
      </c>
      <c r="E178">
        <v>1.33</v>
      </c>
      <c r="F178">
        <v>4.21</v>
      </c>
      <c r="G178">
        <v>5.54</v>
      </c>
      <c r="H178">
        <f t="shared" si="13"/>
        <v>2038</v>
      </c>
      <c r="I178">
        <f t="shared" si="17"/>
        <v>5547.0199999999995</v>
      </c>
      <c r="J178">
        <f t="shared" si="14"/>
        <v>5429.0700000000006</v>
      </c>
      <c r="K178">
        <f t="shared" si="15"/>
        <v>78.400000000000006</v>
      </c>
      <c r="L178">
        <f t="shared" si="16"/>
        <v>39.550000000000004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Louis.Garnier</dc:creator>
  <cp:lastModifiedBy>Louis.Garnier</cp:lastModifiedBy>
  <dcterms:created xsi:type="dcterms:W3CDTF">2025-02-05T20:38:55Z</dcterms:created>
  <dcterms:modified xsi:type="dcterms:W3CDTF">2025-02-11T19:31:10Z</dcterms:modified>
</cp:coreProperties>
</file>