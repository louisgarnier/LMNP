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garnier/Library/Mobile Documents/com~apple~CloudDocs/Python/claudeAI/apparts/data/input/app_data/"/>
    </mc:Choice>
  </mc:AlternateContent>
  <xr:revisionPtr revIDLastSave="0" documentId="13_ncr:1_{0F8C6A66-011E-EC48-A978-19006706DB53}" xr6:coauthVersionLast="47" xr6:coauthVersionMax="47" xr10:uidLastSave="{00000000-0000-0000-0000-000000000000}"/>
  <bookViews>
    <workbookView xWindow="-560" yWindow="-20740" windowWidth="39180" windowHeight="14620" xr2:uid="{49AA9CED-D137-684D-8B16-736B7FDBAE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8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8" i="2"/>
  <c r="C2" i="2"/>
  <c r="C3" i="2" s="1"/>
  <c r="C4" i="2" s="1"/>
  <c r="C5" i="2" s="1"/>
  <c r="B5" i="1"/>
  <c r="U5" i="1"/>
  <c r="V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I8" i="2" l="1"/>
</calcChain>
</file>

<file path=xl/sharedStrings.xml><?xml version="1.0" encoding="utf-8"?>
<sst xmlns="http://schemas.openxmlformats.org/spreadsheetml/2006/main" count="255" uniqueCount="11">
  <si>
    <t>annee</t>
  </si>
  <si>
    <t>interets</t>
  </si>
  <si>
    <t>assurance cred</t>
  </si>
  <si>
    <t>total</t>
  </si>
  <si>
    <t>Echéance</t>
  </si>
  <si>
    <t>assurance</t>
  </si>
  <si>
    <t>Déblocage</t>
  </si>
  <si>
    <t>Échéance</t>
  </si>
  <si>
    <t>capital du</t>
  </si>
  <si>
    <t>capital remb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</si>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</sst>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8F72-25AA-1A4E-AA0E-894F6CF54835}">
  <dimension ref="A1:V5"/>
  <sheetViews>
    <sheetView tabSelected="1" workbookViewId="0">
      <selection activeCell="A2" sqref="A2"/>
    </sheetView>
  </sheetViews>
  <sheetFormatPr baseColWidth="10" defaultRowHeight="16"/>
  <sheetData>
    <row r="1" spans="1:22" ht="19">
      <c r="A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</row>
    <row r="2" spans="1:22">
      <c r="A2" t="s">
        <v>10</v>
      </c>
      <c r="B2">
        <v>0</v>
      </c>
      <c r="C2">
        <v>2814.69</v>
      </c>
      <c r="D2">
        <v>11336.46</v>
      </c>
      <c r="E2">
        <v>11461.800000000001</v>
      </c>
      <c r="F2">
        <v>11588.519999999999</v>
      </c>
      <c r="G2">
        <v>11716.650000000001</v>
      </c>
      <c r="H2">
        <v>11846.17</v>
      </c>
      <c r="I2">
        <v>11977.13</v>
      </c>
      <c r="J2">
        <v>12109.550000000001</v>
      </c>
      <c r="K2">
        <v>12243.43</v>
      </c>
      <c r="L2">
        <v>12378.79</v>
      </c>
      <c r="M2">
        <v>12515.66</v>
      </c>
      <c r="N2">
        <v>12654.01</v>
      </c>
      <c r="O2">
        <v>12793.93</v>
      </c>
      <c r="P2">
        <v>12935.369999999999</v>
      </c>
      <c r="Q2">
        <v>13078.380000000001</v>
      </c>
      <c r="R2">
        <v>13222.960000000003</v>
      </c>
      <c r="S2">
        <v>13369.149999999998</v>
      </c>
      <c r="T2">
        <v>13516.96</v>
      </c>
      <c r="U2">
        <v>13666.390000000001</v>
      </c>
      <c r="V2">
        <v>4589</v>
      </c>
    </row>
    <row r="3" spans="1:22">
      <c r="A3" t="s">
        <v>1</v>
      </c>
      <c r="B3">
        <v>264.55</v>
      </c>
      <c r="C3">
        <v>2451.4</v>
      </c>
      <c r="D3">
        <v>2461.98</v>
      </c>
      <c r="E3">
        <v>2336.6400000000003</v>
      </c>
      <c r="F3">
        <v>2209.92</v>
      </c>
      <c r="G3">
        <v>2081.79</v>
      </c>
      <c r="H3">
        <v>1952.27</v>
      </c>
      <c r="I3">
        <v>1821.3100000000002</v>
      </c>
      <c r="J3">
        <v>1688.89</v>
      </c>
      <c r="K3">
        <v>1555.01</v>
      </c>
      <c r="L3">
        <v>1419.6499999999999</v>
      </c>
      <c r="M3">
        <v>1282.7799999999997</v>
      </c>
      <c r="N3">
        <v>1144.43</v>
      </c>
      <c r="O3">
        <v>1004.5099999999999</v>
      </c>
      <c r="P3">
        <v>863.07000000000016</v>
      </c>
      <c r="Q3">
        <v>720.06</v>
      </c>
      <c r="R3">
        <v>575.4799999999999</v>
      </c>
      <c r="S3">
        <v>429.28999999999996</v>
      </c>
      <c r="T3">
        <v>281.4799999999999</v>
      </c>
      <c r="U3">
        <v>132.04999999999998</v>
      </c>
      <c r="V3">
        <v>10.530000000000001</v>
      </c>
    </row>
    <row r="4" spans="1:22">
      <c r="A4" t="s">
        <v>2</v>
      </c>
      <c r="B4">
        <v>43.64</v>
      </c>
      <c r="C4">
        <v>307.5800000000001</v>
      </c>
      <c r="D4">
        <v>303.02</v>
      </c>
      <c r="E4">
        <v>289.86</v>
      </c>
      <c r="F4">
        <v>278.95999999999998</v>
      </c>
      <c r="G4">
        <v>269.57999999999993</v>
      </c>
      <c r="H4">
        <v>261.39999999999998</v>
      </c>
      <c r="I4">
        <v>253.36</v>
      </c>
      <c r="J4">
        <v>243.50000000000003</v>
      </c>
      <c r="K4">
        <v>233.45999999999995</v>
      </c>
      <c r="L4">
        <v>222.87999999999997</v>
      </c>
      <c r="M4">
        <v>211.37999999999997</v>
      </c>
      <c r="N4">
        <v>198.56000000000003</v>
      </c>
      <c r="O4">
        <v>184.36</v>
      </c>
      <c r="P4">
        <v>168.42</v>
      </c>
      <c r="Q4">
        <v>150.38</v>
      </c>
      <c r="R4">
        <v>129.88</v>
      </c>
      <c r="S4">
        <v>106.49999999999999</v>
      </c>
      <c r="T4">
        <v>79.559999999999988</v>
      </c>
      <c r="U4">
        <v>48.54</v>
      </c>
      <c r="V4">
        <v>6.48</v>
      </c>
    </row>
    <row r="5" spans="1:22">
      <c r="A5" t="s">
        <v>3</v>
      </c>
      <c r="B5">
        <f>SUM(B2:B4)</f>
        <v>308.19</v>
      </c>
      <c r="C5">
        <f t="shared" ref="C5:T5" si="0">SUM(C2:C4)</f>
        <v>5573.67</v>
      </c>
      <c r="D5">
        <f t="shared" si="0"/>
        <v>14101.46</v>
      </c>
      <c r="E5">
        <f t="shared" si="0"/>
        <v>14088.300000000003</v>
      </c>
      <c r="F5">
        <f t="shared" si="0"/>
        <v>14077.399999999998</v>
      </c>
      <c r="G5">
        <f t="shared" si="0"/>
        <v>14068.020000000002</v>
      </c>
      <c r="H5">
        <f t="shared" si="0"/>
        <v>14059.84</v>
      </c>
      <c r="I5">
        <f t="shared" si="0"/>
        <v>14051.8</v>
      </c>
      <c r="J5">
        <f t="shared" si="0"/>
        <v>14041.94</v>
      </c>
      <c r="K5">
        <f t="shared" si="0"/>
        <v>14031.9</v>
      </c>
      <c r="L5">
        <f t="shared" si="0"/>
        <v>14021.32</v>
      </c>
      <c r="M5">
        <f t="shared" si="0"/>
        <v>14009.819999999998</v>
      </c>
      <c r="N5">
        <f t="shared" si="0"/>
        <v>13997</v>
      </c>
      <c r="O5">
        <f t="shared" si="0"/>
        <v>13982.800000000001</v>
      </c>
      <c r="P5">
        <f t="shared" si="0"/>
        <v>13966.859999999999</v>
      </c>
      <c r="Q5">
        <f t="shared" si="0"/>
        <v>13948.82</v>
      </c>
      <c r="R5">
        <f t="shared" si="0"/>
        <v>13928.320000000002</v>
      </c>
      <c r="S5">
        <f t="shared" si="0"/>
        <v>13904.939999999999</v>
      </c>
      <c r="T5">
        <f t="shared" si="0"/>
        <v>13877.999999999998</v>
      </c>
      <c r="U5">
        <f>SUM(U2:U4)</f>
        <v>13846.980000000001</v>
      </c>
      <c r="V5">
        <f t="shared" ref="V5" si="1">SUM(V2:V4)</f>
        <v>4606.0099999999993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E4C5-76F0-6F48-963A-C91F993CE1B5}">
  <dimension ref="A1:T241"/>
  <sheetViews>
    <sheetView topLeftCell="F1" workbookViewId="0">
      <selection activeCell="U1" sqref="U1:AP4"/>
    </sheetView>
  </sheetViews>
  <sheetFormatPr baseColWidth="10" defaultRowHeight="16"/>
  <sheetData>
    <row r="1" spans="1:20">
      <c r="A1" s="2">
        <v>44495</v>
      </c>
      <c r="B1" t="s">
        <v>6</v>
      </c>
      <c r="C1">
        <v>0</v>
      </c>
      <c r="D1">
        <v>165000</v>
      </c>
      <c r="E1">
        <v>0</v>
      </c>
      <c r="F1">
        <v>0</v>
      </c>
      <c r="G1">
        <v>0</v>
      </c>
    </row>
    <row r="2" spans="1:20">
      <c r="A2" s="2">
        <v>44531</v>
      </c>
      <c r="B2" t="s">
        <v>6</v>
      </c>
      <c r="C2">
        <f>D1</f>
        <v>165000</v>
      </c>
      <c r="D2">
        <v>36115.83</v>
      </c>
      <c r="E2">
        <v>0</v>
      </c>
      <c r="F2">
        <v>0</v>
      </c>
      <c r="G2">
        <v>0</v>
      </c>
      <c r="Q2" t="s">
        <v>3</v>
      </c>
      <c r="R2" t="s">
        <v>9</v>
      </c>
      <c r="S2" t="s">
        <v>1</v>
      </c>
      <c r="T2" t="s">
        <v>5</v>
      </c>
    </row>
    <row r="3" spans="1:20" ht="17" customHeight="1">
      <c r="A3" s="2">
        <v>44645</v>
      </c>
      <c r="B3" t="s">
        <v>6</v>
      </c>
      <c r="C3">
        <f>C2+D2</f>
        <v>201115.83000000002</v>
      </c>
      <c r="D3">
        <v>15478.22</v>
      </c>
      <c r="E3">
        <v>0</v>
      </c>
      <c r="F3">
        <v>0</v>
      </c>
      <c r="G3">
        <v>0</v>
      </c>
      <c r="P3">
        <v>2021</v>
      </c>
      <c r="Q3">
        <v>308.19</v>
      </c>
      <c r="R3">
        <v>0</v>
      </c>
      <c r="S3">
        <v>264.55</v>
      </c>
      <c r="T3">
        <v>43.64</v>
      </c>
    </row>
    <row r="4" spans="1:20" ht="17" customHeight="1">
      <c r="A4" s="2">
        <v>44651</v>
      </c>
      <c r="B4" t="s">
        <v>6</v>
      </c>
      <c r="C4">
        <f>C3+D3</f>
        <v>216594.05000000002</v>
      </c>
      <c r="D4">
        <v>15220.95</v>
      </c>
      <c r="E4">
        <v>0</v>
      </c>
      <c r="F4">
        <v>0</v>
      </c>
      <c r="G4">
        <v>0</v>
      </c>
      <c r="P4">
        <v>2022</v>
      </c>
      <c r="Q4">
        <v>5573.67</v>
      </c>
      <c r="R4">
        <v>2814.69</v>
      </c>
      <c r="S4">
        <v>2451.4</v>
      </c>
      <c r="T4">
        <v>307.5800000000001</v>
      </c>
    </row>
    <row r="5" spans="1:20" ht="17" customHeight="1">
      <c r="A5" s="2"/>
      <c r="C5">
        <f>C4+D4</f>
        <v>231815.00000000003</v>
      </c>
      <c r="P5">
        <v>2023</v>
      </c>
      <c r="Q5">
        <v>14101.459999999997</v>
      </c>
      <c r="R5">
        <v>11336.46</v>
      </c>
      <c r="S5">
        <v>2461.98</v>
      </c>
      <c r="T5">
        <v>303.02</v>
      </c>
    </row>
    <row r="6" spans="1:20" ht="17" customHeight="1">
      <c r="A6" s="2"/>
      <c r="P6">
        <v>2024</v>
      </c>
      <c r="Q6">
        <v>14088.300000000001</v>
      </c>
      <c r="R6">
        <v>11461.800000000001</v>
      </c>
      <c r="S6">
        <v>2336.6400000000003</v>
      </c>
      <c r="T6">
        <v>289.86</v>
      </c>
    </row>
    <row r="7" spans="1:20" ht="17" customHeight="1">
      <c r="A7" s="2"/>
      <c r="C7" t="s">
        <v>8</v>
      </c>
      <c r="D7" t="s">
        <v>9</v>
      </c>
      <c r="E7" t="s">
        <v>1</v>
      </c>
      <c r="F7" t="s">
        <v>5</v>
      </c>
      <c r="I7" t="s">
        <v>3</v>
      </c>
      <c r="J7" t="s">
        <v>9</v>
      </c>
      <c r="K7" t="s">
        <v>1</v>
      </c>
      <c r="L7" t="s">
        <v>5</v>
      </c>
      <c r="P7">
        <v>2025</v>
      </c>
      <c r="Q7">
        <v>14077.400000000001</v>
      </c>
      <c r="R7">
        <v>11588.519999999999</v>
      </c>
      <c r="S7">
        <v>2209.92</v>
      </c>
      <c r="T7">
        <v>278.95999999999998</v>
      </c>
    </row>
    <row r="8" spans="1:20" ht="17" customHeight="1">
      <c r="A8" s="2">
        <v>44515</v>
      </c>
      <c r="B8" t="s">
        <v>7</v>
      </c>
      <c r="C8">
        <v>165000</v>
      </c>
      <c r="D8">
        <v>0</v>
      </c>
      <c r="E8">
        <v>98.05</v>
      </c>
      <c r="F8">
        <v>17.97</v>
      </c>
      <c r="G8">
        <v>116.02</v>
      </c>
      <c r="H8">
        <f>YEAR(A8)</f>
        <v>2021</v>
      </c>
      <c r="I8">
        <f>SUMIF(H:H,H8,G:G)</f>
        <v>308.19</v>
      </c>
      <c r="J8">
        <f>SUMIF(H:H,H8,D:D)</f>
        <v>0</v>
      </c>
      <c r="K8">
        <f>SUMIF(H:H,H8,E:E)</f>
        <v>264.55</v>
      </c>
      <c r="L8">
        <f>SUMIF(H:H,H8,F:F)</f>
        <v>43.64</v>
      </c>
      <c r="P8">
        <v>2026</v>
      </c>
      <c r="Q8">
        <v>14068.020000000002</v>
      </c>
      <c r="R8">
        <v>11716.650000000001</v>
      </c>
      <c r="S8">
        <v>2081.79</v>
      </c>
      <c r="T8">
        <v>269.57999999999993</v>
      </c>
    </row>
    <row r="9" spans="1:20">
      <c r="A9" s="2">
        <v>44545</v>
      </c>
      <c r="B9" t="s">
        <v>7</v>
      </c>
      <c r="C9">
        <v>201115.83</v>
      </c>
      <c r="D9">
        <v>0</v>
      </c>
      <c r="E9">
        <v>166.5</v>
      </c>
      <c r="F9">
        <v>25.67</v>
      </c>
      <c r="G9">
        <v>192.17</v>
      </c>
      <c r="H9">
        <f t="shared" ref="H9:H72" si="0">YEAR(A9)</f>
        <v>2021</v>
      </c>
      <c r="I9">
        <f t="shared" ref="I9:I72" si="1">SUMIF(H:H,H9,G:G)</f>
        <v>308.19</v>
      </c>
      <c r="J9">
        <f t="shared" ref="J9:J72" si="2">SUMIF(H:H,H9,D:D)</f>
        <v>0</v>
      </c>
      <c r="K9">
        <f t="shared" ref="K9:K72" si="3">SUMIF(H:H,H9,E:E)</f>
        <v>264.55</v>
      </c>
      <c r="L9">
        <f t="shared" ref="L9:L72" si="4">SUMIF(H:H,H9,F:F)</f>
        <v>43.64</v>
      </c>
      <c r="P9">
        <v>2027</v>
      </c>
      <c r="Q9">
        <v>14059.84</v>
      </c>
      <c r="R9">
        <v>11846.17</v>
      </c>
      <c r="S9">
        <v>1952.27</v>
      </c>
      <c r="T9">
        <v>261.39999999999998</v>
      </c>
    </row>
    <row r="10" spans="1:20">
      <c r="A10" s="2">
        <v>44576</v>
      </c>
      <c r="B10" t="s">
        <v>7</v>
      </c>
      <c r="C10">
        <v>201115.83</v>
      </c>
      <c r="D10">
        <v>0</v>
      </c>
      <c r="E10">
        <v>184.36</v>
      </c>
      <c r="F10">
        <v>25.67</v>
      </c>
      <c r="G10">
        <v>210.03</v>
      </c>
      <c r="H10">
        <f t="shared" si="0"/>
        <v>2022</v>
      </c>
      <c r="I10">
        <f t="shared" si="1"/>
        <v>5573.67</v>
      </c>
      <c r="J10">
        <f t="shared" si="2"/>
        <v>2814.69</v>
      </c>
      <c r="K10">
        <f t="shared" si="3"/>
        <v>2451.4</v>
      </c>
      <c r="L10">
        <f t="shared" si="4"/>
        <v>307.5800000000001</v>
      </c>
      <c r="P10">
        <v>2028</v>
      </c>
      <c r="Q10">
        <v>14051.799999999996</v>
      </c>
      <c r="R10">
        <v>11977.13</v>
      </c>
      <c r="S10">
        <v>1821.3100000000002</v>
      </c>
      <c r="T10">
        <v>253.36</v>
      </c>
    </row>
    <row r="11" spans="1:20">
      <c r="A11" s="2">
        <v>44607</v>
      </c>
      <c r="B11" t="s">
        <v>7</v>
      </c>
      <c r="C11">
        <v>201115.83</v>
      </c>
      <c r="D11">
        <v>0</v>
      </c>
      <c r="E11">
        <v>184.36</v>
      </c>
      <c r="F11">
        <v>25.67</v>
      </c>
      <c r="G11">
        <v>210.03</v>
      </c>
      <c r="H11">
        <f t="shared" si="0"/>
        <v>2022</v>
      </c>
      <c r="I11">
        <f t="shared" si="1"/>
        <v>5573.67</v>
      </c>
      <c r="J11">
        <f t="shared" si="2"/>
        <v>2814.69</v>
      </c>
      <c r="K11">
        <f t="shared" si="3"/>
        <v>2451.4</v>
      </c>
      <c r="L11">
        <f t="shared" si="4"/>
        <v>307.5800000000001</v>
      </c>
      <c r="P11">
        <v>2029</v>
      </c>
      <c r="Q11">
        <v>14041.939999999997</v>
      </c>
      <c r="R11">
        <v>12109.550000000001</v>
      </c>
      <c r="S11">
        <v>1688.89</v>
      </c>
      <c r="T11">
        <v>243.50000000000003</v>
      </c>
    </row>
    <row r="12" spans="1:20">
      <c r="A12" s="2">
        <v>44635</v>
      </c>
      <c r="B12" t="s">
        <v>7</v>
      </c>
      <c r="C12">
        <v>201115.83</v>
      </c>
      <c r="D12">
        <v>0</v>
      </c>
      <c r="E12">
        <v>184.36</v>
      </c>
      <c r="F12">
        <v>25.67</v>
      </c>
      <c r="G12">
        <v>210.03</v>
      </c>
      <c r="H12">
        <f t="shared" si="0"/>
        <v>2022</v>
      </c>
      <c r="I12">
        <f t="shared" si="1"/>
        <v>5573.67</v>
      </c>
      <c r="J12">
        <f t="shared" si="2"/>
        <v>2814.69</v>
      </c>
      <c r="K12">
        <f t="shared" si="3"/>
        <v>2451.4</v>
      </c>
      <c r="L12">
        <f t="shared" si="4"/>
        <v>307.5800000000001</v>
      </c>
      <c r="P12">
        <v>2030</v>
      </c>
      <c r="Q12">
        <v>14031.9</v>
      </c>
      <c r="R12">
        <v>12243.43</v>
      </c>
      <c r="S12">
        <v>1555.01</v>
      </c>
      <c r="T12">
        <v>233.45999999999995</v>
      </c>
    </row>
    <row r="13" spans="1:20">
      <c r="A13" s="2">
        <v>44666</v>
      </c>
      <c r="B13" t="s">
        <v>7</v>
      </c>
      <c r="C13">
        <v>231815</v>
      </c>
      <c r="D13">
        <v>0</v>
      </c>
      <c r="E13">
        <v>200.9</v>
      </c>
      <c r="F13">
        <v>25.67</v>
      </c>
      <c r="G13">
        <v>226.57</v>
      </c>
      <c r="H13">
        <f t="shared" si="0"/>
        <v>2022</v>
      </c>
      <c r="I13">
        <f t="shared" si="1"/>
        <v>5573.67</v>
      </c>
      <c r="J13">
        <f t="shared" si="2"/>
        <v>2814.69</v>
      </c>
      <c r="K13">
        <f t="shared" si="3"/>
        <v>2451.4</v>
      </c>
      <c r="L13">
        <f t="shared" si="4"/>
        <v>307.5800000000001</v>
      </c>
      <c r="P13">
        <v>2031</v>
      </c>
      <c r="Q13">
        <v>14021.320000000002</v>
      </c>
      <c r="R13">
        <v>12378.79</v>
      </c>
      <c r="S13">
        <v>1419.6499999999999</v>
      </c>
      <c r="T13">
        <v>222.87999999999997</v>
      </c>
    </row>
    <row r="14" spans="1:20">
      <c r="A14" s="2">
        <v>44696</v>
      </c>
      <c r="B14" t="s">
        <v>7</v>
      </c>
      <c r="C14">
        <v>231815</v>
      </c>
      <c r="D14">
        <v>0</v>
      </c>
      <c r="E14">
        <v>212.5</v>
      </c>
      <c r="F14">
        <v>25.67</v>
      </c>
      <c r="G14">
        <v>238.17</v>
      </c>
      <c r="H14">
        <f t="shared" si="0"/>
        <v>2022</v>
      </c>
      <c r="I14">
        <f t="shared" si="1"/>
        <v>5573.67</v>
      </c>
      <c r="J14">
        <f t="shared" si="2"/>
        <v>2814.69</v>
      </c>
      <c r="K14">
        <f t="shared" si="3"/>
        <v>2451.4</v>
      </c>
      <c r="L14">
        <f t="shared" si="4"/>
        <v>307.5800000000001</v>
      </c>
      <c r="P14">
        <v>2032</v>
      </c>
      <c r="Q14">
        <v>14009.820000000002</v>
      </c>
      <c r="R14">
        <v>12515.66</v>
      </c>
      <c r="S14">
        <v>1282.7799999999997</v>
      </c>
      <c r="T14">
        <v>211.37999999999997</v>
      </c>
    </row>
    <row r="15" spans="1:20">
      <c r="A15" s="2">
        <v>44727</v>
      </c>
      <c r="B15" t="s">
        <v>7</v>
      </c>
      <c r="C15">
        <v>231815</v>
      </c>
      <c r="D15">
        <v>0</v>
      </c>
      <c r="E15">
        <v>212.5</v>
      </c>
      <c r="F15">
        <v>25.67</v>
      </c>
      <c r="G15">
        <v>238.17</v>
      </c>
      <c r="H15">
        <f t="shared" si="0"/>
        <v>2022</v>
      </c>
      <c r="I15">
        <f t="shared" si="1"/>
        <v>5573.67</v>
      </c>
      <c r="J15">
        <f t="shared" si="2"/>
        <v>2814.69</v>
      </c>
      <c r="K15">
        <f t="shared" si="3"/>
        <v>2451.4</v>
      </c>
      <c r="L15">
        <f t="shared" si="4"/>
        <v>307.5800000000001</v>
      </c>
      <c r="P15">
        <v>2033</v>
      </c>
      <c r="Q15">
        <v>13997.000000000002</v>
      </c>
      <c r="R15">
        <v>12654.01</v>
      </c>
      <c r="S15">
        <v>1144.43</v>
      </c>
      <c r="T15">
        <v>198.56000000000003</v>
      </c>
    </row>
    <row r="16" spans="1:20">
      <c r="A16" s="2">
        <v>44757</v>
      </c>
      <c r="B16" t="s">
        <v>7</v>
      </c>
      <c r="C16">
        <v>231815</v>
      </c>
      <c r="D16">
        <v>0</v>
      </c>
      <c r="E16">
        <v>212.5</v>
      </c>
      <c r="F16">
        <v>25.67</v>
      </c>
      <c r="G16">
        <v>238.17</v>
      </c>
      <c r="H16">
        <f t="shared" si="0"/>
        <v>2022</v>
      </c>
      <c r="I16">
        <f t="shared" si="1"/>
        <v>5573.67</v>
      </c>
      <c r="J16">
        <f t="shared" si="2"/>
        <v>2814.69</v>
      </c>
      <c r="K16">
        <f t="shared" si="3"/>
        <v>2451.4</v>
      </c>
      <c r="L16">
        <f t="shared" si="4"/>
        <v>307.5800000000001</v>
      </c>
      <c r="P16">
        <v>2034</v>
      </c>
      <c r="Q16">
        <v>13982.800000000001</v>
      </c>
      <c r="R16">
        <v>12793.93</v>
      </c>
      <c r="S16">
        <v>1004.5099999999999</v>
      </c>
      <c r="T16">
        <v>184.36</v>
      </c>
    </row>
    <row r="17" spans="1:20">
      <c r="A17" s="2">
        <v>44788</v>
      </c>
      <c r="B17" t="s">
        <v>7</v>
      </c>
      <c r="C17">
        <v>231815</v>
      </c>
      <c r="D17">
        <v>0</v>
      </c>
      <c r="E17">
        <v>212.5</v>
      </c>
      <c r="F17">
        <v>25.67</v>
      </c>
      <c r="G17">
        <v>238.17</v>
      </c>
      <c r="H17">
        <f t="shared" si="0"/>
        <v>2022</v>
      </c>
      <c r="I17">
        <f t="shared" si="1"/>
        <v>5573.67</v>
      </c>
      <c r="J17">
        <f t="shared" si="2"/>
        <v>2814.69</v>
      </c>
      <c r="K17">
        <f t="shared" si="3"/>
        <v>2451.4</v>
      </c>
      <c r="L17">
        <f t="shared" si="4"/>
        <v>307.5800000000001</v>
      </c>
      <c r="P17">
        <v>2035</v>
      </c>
      <c r="Q17">
        <v>13966.859999999999</v>
      </c>
      <c r="R17">
        <v>12935.369999999999</v>
      </c>
      <c r="S17">
        <v>863.07000000000016</v>
      </c>
      <c r="T17">
        <v>168.42</v>
      </c>
    </row>
    <row r="18" spans="1:20">
      <c r="A18" s="2">
        <v>44819</v>
      </c>
      <c r="B18" t="s">
        <v>7</v>
      </c>
      <c r="C18">
        <v>231815</v>
      </c>
      <c r="D18">
        <v>0</v>
      </c>
      <c r="E18">
        <v>212.5</v>
      </c>
      <c r="F18">
        <v>25.67</v>
      </c>
      <c r="G18">
        <v>238.17</v>
      </c>
      <c r="H18">
        <f t="shared" si="0"/>
        <v>2022</v>
      </c>
      <c r="I18">
        <f t="shared" si="1"/>
        <v>5573.67</v>
      </c>
      <c r="J18">
        <f t="shared" si="2"/>
        <v>2814.69</v>
      </c>
      <c r="K18">
        <f t="shared" si="3"/>
        <v>2451.4</v>
      </c>
      <c r="L18">
        <f t="shared" si="4"/>
        <v>307.5800000000001</v>
      </c>
      <c r="P18">
        <v>2036</v>
      </c>
      <c r="Q18">
        <v>13948.820000000002</v>
      </c>
      <c r="R18">
        <v>13078.380000000001</v>
      </c>
      <c r="S18">
        <v>720.06</v>
      </c>
      <c r="T18">
        <v>150.38</v>
      </c>
    </row>
    <row r="19" spans="1:20">
      <c r="A19" s="2">
        <v>44849</v>
      </c>
      <c r="B19" t="s">
        <v>4</v>
      </c>
      <c r="C19">
        <v>231815</v>
      </c>
      <c r="D19">
        <v>937.37</v>
      </c>
      <c r="E19">
        <v>212.5</v>
      </c>
      <c r="F19">
        <v>25.67</v>
      </c>
      <c r="G19">
        <v>1175.54</v>
      </c>
      <c r="H19">
        <f t="shared" si="0"/>
        <v>2022</v>
      </c>
      <c r="I19">
        <f t="shared" si="1"/>
        <v>5573.67</v>
      </c>
      <c r="J19">
        <f t="shared" si="2"/>
        <v>2814.69</v>
      </c>
      <c r="K19">
        <f t="shared" si="3"/>
        <v>2451.4</v>
      </c>
      <c r="L19">
        <f t="shared" si="4"/>
        <v>307.5800000000001</v>
      </c>
      <c r="P19">
        <v>2037</v>
      </c>
      <c r="Q19">
        <v>13928.320000000002</v>
      </c>
      <c r="R19">
        <v>13222.960000000003</v>
      </c>
      <c r="S19">
        <v>575.4799999999999</v>
      </c>
      <c r="T19">
        <v>129.88</v>
      </c>
    </row>
    <row r="20" spans="1:20">
      <c r="A20" s="2">
        <v>44880</v>
      </c>
      <c r="B20" t="s">
        <v>4</v>
      </c>
      <c r="C20">
        <v>230877.63</v>
      </c>
      <c r="D20">
        <v>938.23</v>
      </c>
      <c r="E20">
        <v>211.64</v>
      </c>
      <c r="F20">
        <v>25.44</v>
      </c>
      <c r="G20">
        <v>1175.31</v>
      </c>
      <c r="H20">
        <f t="shared" si="0"/>
        <v>2022</v>
      </c>
      <c r="I20">
        <f t="shared" si="1"/>
        <v>5573.67</v>
      </c>
      <c r="J20">
        <f t="shared" si="2"/>
        <v>2814.69</v>
      </c>
      <c r="K20">
        <f t="shared" si="3"/>
        <v>2451.4</v>
      </c>
      <c r="L20">
        <f t="shared" si="4"/>
        <v>307.5800000000001</v>
      </c>
      <c r="P20">
        <v>2038</v>
      </c>
      <c r="Q20">
        <v>13904.94</v>
      </c>
      <c r="R20">
        <v>13369.149999999998</v>
      </c>
      <c r="S20">
        <v>429.28999999999996</v>
      </c>
      <c r="T20">
        <v>106.49999999999999</v>
      </c>
    </row>
    <row r="21" spans="1:20">
      <c r="A21" s="2">
        <v>44910</v>
      </c>
      <c r="B21" t="s">
        <v>4</v>
      </c>
      <c r="C21">
        <v>229939.4</v>
      </c>
      <c r="D21">
        <v>939.09</v>
      </c>
      <c r="E21">
        <v>210.78</v>
      </c>
      <c r="F21">
        <v>25.44</v>
      </c>
      <c r="G21">
        <v>1175.31</v>
      </c>
      <c r="H21">
        <f t="shared" si="0"/>
        <v>2022</v>
      </c>
      <c r="I21">
        <f t="shared" si="1"/>
        <v>5573.67</v>
      </c>
      <c r="J21">
        <f t="shared" si="2"/>
        <v>2814.69</v>
      </c>
      <c r="K21">
        <f t="shared" si="3"/>
        <v>2451.4</v>
      </c>
      <c r="L21">
        <f t="shared" si="4"/>
        <v>307.5800000000001</v>
      </c>
      <c r="P21">
        <v>2039</v>
      </c>
      <c r="Q21">
        <v>13878</v>
      </c>
      <c r="R21">
        <v>13516.96</v>
      </c>
      <c r="S21">
        <v>281.4799999999999</v>
      </c>
      <c r="T21">
        <v>79.559999999999988</v>
      </c>
    </row>
    <row r="22" spans="1:20">
      <c r="A22" s="2">
        <v>44941</v>
      </c>
      <c r="B22" t="s">
        <v>4</v>
      </c>
      <c r="C22">
        <v>229000.31</v>
      </c>
      <c r="D22">
        <v>939.95</v>
      </c>
      <c r="E22">
        <v>209.92</v>
      </c>
      <c r="F22">
        <v>25.44</v>
      </c>
      <c r="G22">
        <v>1175.31</v>
      </c>
      <c r="H22">
        <f t="shared" si="0"/>
        <v>2023</v>
      </c>
      <c r="I22">
        <f t="shared" si="1"/>
        <v>14101.459999999997</v>
      </c>
      <c r="J22">
        <f t="shared" si="2"/>
        <v>11336.46</v>
      </c>
      <c r="K22">
        <f t="shared" si="3"/>
        <v>2461.98</v>
      </c>
      <c r="L22">
        <f t="shared" si="4"/>
        <v>303.02</v>
      </c>
      <c r="P22">
        <v>2040</v>
      </c>
      <c r="Q22">
        <v>13846.979999999998</v>
      </c>
      <c r="R22">
        <v>13666.390000000001</v>
      </c>
      <c r="S22">
        <v>132.04999999999998</v>
      </c>
      <c r="T22">
        <v>48.54</v>
      </c>
    </row>
    <row r="23" spans="1:20">
      <c r="A23" s="2">
        <v>44972</v>
      </c>
      <c r="B23" t="s">
        <v>4</v>
      </c>
      <c r="C23">
        <v>228060.36</v>
      </c>
      <c r="D23">
        <v>940.81</v>
      </c>
      <c r="E23">
        <v>209.06</v>
      </c>
      <c r="F23">
        <v>25.44</v>
      </c>
      <c r="G23">
        <v>1175.31</v>
      </c>
      <c r="H23">
        <f t="shared" si="0"/>
        <v>2023</v>
      </c>
      <c r="I23">
        <f t="shared" si="1"/>
        <v>14101.459999999997</v>
      </c>
      <c r="J23">
        <f t="shared" si="2"/>
        <v>11336.46</v>
      </c>
      <c r="K23">
        <f t="shared" si="3"/>
        <v>2461.98</v>
      </c>
      <c r="L23">
        <f t="shared" si="4"/>
        <v>303.02</v>
      </c>
      <c r="P23">
        <v>2041</v>
      </c>
      <c r="Q23">
        <v>4606.01</v>
      </c>
      <c r="R23">
        <v>4589</v>
      </c>
      <c r="S23">
        <v>10.530000000000001</v>
      </c>
      <c r="T23">
        <v>6.48</v>
      </c>
    </row>
    <row r="24" spans="1:20">
      <c r="A24" s="2">
        <v>45000</v>
      </c>
      <c r="B24" t="s">
        <v>4</v>
      </c>
      <c r="C24">
        <v>227119.55</v>
      </c>
      <c r="D24">
        <v>941.68</v>
      </c>
      <c r="E24">
        <v>208.19</v>
      </c>
      <c r="F24">
        <v>25.44</v>
      </c>
      <c r="G24">
        <v>1175.31</v>
      </c>
      <c r="H24">
        <f t="shared" si="0"/>
        <v>2023</v>
      </c>
      <c r="I24">
        <f t="shared" si="1"/>
        <v>14101.459999999997</v>
      </c>
      <c r="J24">
        <f t="shared" si="2"/>
        <v>11336.46</v>
      </c>
      <c r="K24">
        <f t="shared" si="3"/>
        <v>2461.98</v>
      </c>
      <c r="L24">
        <f t="shared" si="4"/>
        <v>303.02</v>
      </c>
    </row>
    <row r="25" spans="1:20">
      <c r="A25" s="2">
        <v>45031</v>
      </c>
      <c r="B25" t="s">
        <v>4</v>
      </c>
      <c r="C25">
        <v>226177.87</v>
      </c>
      <c r="D25">
        <v>942.54</v>
      </c>
      <c r="E25">
        <v>207.33</v>
      </c>
      <c r="F25">
        <v>25.44</v>
      </c>
      <c r="G25">
        <v>1175.31</v>
      </c>
      <c r="H25">
        <f t="shared" si="0"/>
        <v>2023</v>
      </c>
      <c r="I25">
        <f t="shared" si="1"/>
        <v>14101.459999999997</v>
      </c>
      <c r="J25">
        <f t="shared" si="2"/>
        <v>11336.46</v>
      </c>
      <c r="K25">
        <f t="shared" si="3"/>
        <v>2461.98</v>
      </c>
      <c r="L25">
        <f t="shared" si="4"/>
        <v>303.02</v>
      </c>
    </row>
    <row r="26" spans="1:20">
      <c r="A26" s="2">
        <v>45061</v>
      </c>
      <c r="B26" t="s">
        <v>4</v>
      </c>
      <c r="C26">
        <v>225235.33</v>
      </c>
      <c r="D26">
        <v>943.4</v>
      </c>
      <c r="E26">
        <v>206.47</v>
      </c>
      <c r="F26">
        <v>25.44</v>
      </c>
      <c r="G26">
        <v>1175.31</v>
      </c>
      <c r="H26">
        <f t="shared" si="0"/>
        <v>2023</v>
      </c>
      <c r="I26">
        <f t="shared" si="1"/>
        <v>14101.459999999997</v>
      </c>
      <c r="J26">
        <f t="shared" si="2"/>
        <v>11336.46</v>
      </c>
      <c r="K26">
        <f t="shared" si="3"/>
        <v>2461.98</v>
      </c>
      <c r="L26">
        <f t="shared" si="4"/>
        <v>303.02</v>
      </c>
    </row>
    <row r="27" spans="1:20">
      <c r="A27" s="2">
        <v>45092</v>
      </c>
      <c r="B27" t="s">
        <v>4</v>
      </c>
      <c r="C27">
        <v>224291.93</v>
      </c>
      <c r="D27">
        <v>944.27</v>
      </c>
      <c r="E27">
        <v>205.6</v>
      </c>
      <c r="F27">
        <v>25.44</v>
      </c>
      <c r="G27">
        <v>1175.31</v>
      </c>
      <c r="H27">
        <f t="shared" si="0"/>
        <v>2023</v>
      </c>
      <c r="I27">
        <f t="shared" si="1"/>
        <v>14101.459999999997</v>
      </c>
      <c r="J27">
        <f t="shared" si="2"/>
        <v>11336.46</v>
      </c>
      <c r="K27">
        <f t="shared" si="3"/>
        <v>2461.98</v>
      </c>
      <c r="L27">
        <f t="shared" si="4"/>
        <v>303.02</v>
      </c>
    </row>
    <row r="28" spans="1:20">
      <c r="A28" s="2">
        <v>45122</v>
      </c>
      <c r="B28" t="s">
        <v>4</v>
      </c>
      <c r="C28">
        <v>223347.66</v>
      </c>
      <c r="D28">
        <v>945.13</v>
      </c>
      <c r="E28">
        <v>204.74</v>
      </c>
      <c r="F28">
        <v>25.44</v>
      </c>
      <c r="G28">
        <v>1175.31</v>
      </c>
      <c r="H28">
        <f t="shared" si="0"/>
        <v>2023</v>
      </c>
      <c r="I28">
        <f t="shared" si="1"/>
        <v>14101.459999999997</v>
      </c>
      <c r="J28">
        <f t="shared" si="2"/>
        <v>11336.46</v>
      </c>
      <c r="K28">
        <f t="shared" si="3"/>
        <v>2461.98</v>
      </c>
      <c r="L28">
        <f t="shared" si="4"/>
        <v>303.02</v>
      </c>
    </row>
    <row r="29" spans="1:20">
      <c r="A29" s="2">
        <v>45153</v>
      </c>
      <c r="B29" t="s">
        <v>4</v>
      </c>
      <c r="C29">
        <v>222402.53</v>
      </c>
      <c r="D29">
        <v>946</v>
      </c>
      <c r="E29">
        <v>203.87</v>
      </c>
      <c r="F29">
        <v>25.44</v>
      </c>
      <c r="G29">
        <v>1175.31</v>
      </c>
      <c r="H29">
        <f t="shared" si="0"/>
        <v>2023</v>
      </c>
      <c r="I29">
        <f t="shared" si="1"/>
        <v>14101.459999999997</v>
      </c>
      <c r="J29">
        <f t="shared" si="2"/>
        <v>11336.46</v>
      </c>
      <c r="K29">
        <f t="shared" si="3"/>
        <v>2461.98</v>
      </c>
      <c r="L29">
        <f t="shared" si="4"/>
        <v>303.02</v>
      </c>
    </row>
    <row r="30" spans="1:20">
      <c r="A30" s="2">
        <v>45184</v>
      </c>
      <c r="B30" t="s">
        <v>4</v>
      </c>
      <c r="C30">
        <v>221456.53</v>
      </c>
      <c r="D30">
        <v>946.87</v>
      </c>
      <c r="E30">
        <v>203</v>
      </c>
      <c r="F30">
        <v>25.44</v>
      </c>
      <c r="G30">
        <v>1175.31</v>
      </c>
      <c r="H30">
        <f t="shared" si="0"/>
        <v>2023</v>
      </c>
      <c r="I30">
        <f t="shared" si="1"/>
        <v>14101.459999999997</v>
      </c>
      <c r="J30">
        <f t="shared" si="2"/>
        <v>11336.46</v>
      </c>
      <c r="K30">
        <f t="shared" si="3"/>
        <v>2461.98</v>
      </c>
      <c r="L30">
        <f t="shared" si="4"/>
        <v>303.02</v>
      </c>
    </row>
    <row r="31" spans="1:20">
      <c r="A31" s="2">
        <v>45214</v>
      </c>
      <c r="B31" t="s">
        <v>4</v>
      </c>
      <c r="C31">
        <v>220509.66</v>
      </c>
      <c r="D31">
        <v>947.74</v>
      </c>
      <c r="E31">
        <v>202.13</v>
      </c>
      <c r="F31">
        <v>25.44</v>
      </c>
      <c r="G31">
        <v>1175.31</v>
      </c>
      <c r="H31">
        <f t="shared" si="0"/>
        <v>2023</v>
      </c>
      <c r="I31">
        <f t="shared" si="1"/>
        <v>14101.459999999997</v>
      </c>
      <c r="J31">
        <f t="shared" si="2"/>
        <v>11336.46</v>
      </c>
      <c r="K31">
        <f t="shared" si="3"/>
        <v>2461.98</v>
      </c>
      <c r="L31">
        <f t="shared" si="4"/>
        <v>303.02</v>
      </c>
    </row>
    <row r="32" spans="1:20">
      <c r="A32" s="2">
        <v>45245</v>
      </c>
      <c r="B32" t="s">
        <v>4</v>
      </c>
      <c r="C32">
        <v>219561.92</v>
      </c>
      <c r="D32">
        <v>948.6</v>
      </c>
      <c r="E32">
        <v>201.27</v>
      </c>
      <c r="F32">
        <v>24.31</v>
      </c>
      <c r="G32">
        <v>1174.18</v>
      </c>
      <c r="H32">
        <f t="shared" si="0"/>
        <v>2023</v>
      </c>
      <c r="I32">
        <f t="shared" si="1"/>
        <v>14101.459999999997</v>
      </c>
      <c r="J32">
        <f t="shared" si="2"/>
        <v>11336.46</v>
      </c>
      <c r="K32">
        <f t="shared" si="3"/>
        <v>2461.98</v>
      </c>
      <c r="L32">
        <f t="shared" si="4"/>
        <v>303.02</v>
      </c>
    </row>
    <row r="33" spans="1:12">
      <c r="A33" s="2">
        <v>45275</v>
      </c>
      <c r="B33" t="s">
        <v>4</v>
      </c>
      <c r="C33">
        <v>218613.32</v>
      </c>
      <c r="D33">
        <v>949.47</v>
      </c>
      <c r="E33">
        <v>200.4</v>
      </c>
      <c r="F33">
        <v>24.31</v>
      </c>
      <c r="G33">
        <v>1174.18</v>
      </c>
      <c r="H33">
        <f t="shared" si="0"/>
        <v>2023</v>
      </c>
      <c r="I33">
        <f t="shared" si="1"/>
        <v>14101.459999999997</v>
      </c>
      <c r="J33">
        <f t="shared" si="2"/>
        <v>11336.46</v>
      </c>
      <c r="K33">
        <f t="shared" si="3"/>
        <v>2461.98</v>
      </c>
      <c r="L33">
        <f t="shared" si="4"/>
        <v>303.02</v>
      </c>
    </row>
    <row r="34" spans="1:12">
      <c r="A34" s="2">
        <v>45306</v>
      </c>
      <c r="B34" t="s">
        <v>4</v>
      </c>
      <c r="C34">
        <v>217663.85</v>
      </c>
      <c r="D34">
        <v>950.34</v>
      </c>
      <c r="E34">
        <v>199.53</v>
      </c>
      <c r="F34">
        <v>24.31</v>
      </c>
      <c r="G34">
        <v>1174.18</v>
      </c>
      <c r="H34">
        <f t="shared" si="0"/>
        <v>2024</v>
      </c>
      <c r="I34">
        <f t="shared" si="1"/>
        <v>14088.300000000001</v>
      </c>
      <c r="J34">
        <f t="shared" si="2"/>
        <v>11461.800000000001</v>
      </c>
      <c r="K34">
        <f t="shared" si="3"/>
        <v>2336.6400000000003</v>
      </c>
      <c r="L34">
        <f t="shared" si="4"/>
        <v>289.86</v>
      </c>
    </row>
    <row r="35" spans="1:12">
      <c r="A35" s="2">
        <v>45337</v>
      </c>
      <c r="B35" t="s">
        <v>4</v>
      </c>
      <c r="C35">
        <v>216713.51</v>
      </c>
      <c r="D35">
        <v>951.22</v>
      </c>
      <c r="E35">
        <v>198.65</v>
      </c>
      <c r="F35">
        <v>24.31</v>
      </c>
      <c r="G35">
        <v>1174.18</v>
      </c>
      <c r="H35">
        <f t="shared" si="0"/>
        <v>2024</v>
      </c>
      <c r="I35">
        <f t="shared" si="1"/>
        <v>14088.300000000001</v>
      </c>
      <c r="J35">
        <f t="shared" si="2"/>
        <v>11461.800000000001</v>
      </c>
      <c r="K35">
        <f t="shared" si="3"/>
        <v>2336.6400000000003</v>
      </c>
      <c r="L35">
        <f t="shared" si="4"/>
        <v>289.86</v>
      </c>
    </row>
    <row r="36" spans="1:12">
      <c r="A36" s="2">
        <v>45366</v>
      </c>
      <c r="B36" t="s">
        <v>4</v>
      </c>
      <c r="C36">
        <v>215762.29</v>
      </c>
      <c r="D36">
        <v>952.09</v>
      </c>
      <c r="E36">
        <v>197.78</v>
      </c>
      <c r="F36">
        <v>24.31</v>
      </c>
      <c r="G36">
        <v>1174.18</v>
      </c>
      <c r="H36">
        <f t="shared" si="0"/>
        <v>2024</v>
      </c>
      <c r="I36">
        <f t="shared" si="1"/>
        <v>14088.300000000001</v>
      </c>
      <c r="J36">
        <f t="shared" si="2"/>
        <v>11461.800000000001</v>
      </c>
      <c r="K36">
        <f t="shared" si="3"/>
        <v>2336.6400000000003</v>
      </c>
      <c r="L36">
        <f t="shared" si="4"/>
        <v>289.86</v>
      </c>
    </row>
    <row r="37" spans="1:12">
      <c r="A37" s="2">
        <v>45397</v>
      </c>
      <c r="B37" t="s">
        <v>4</v>
      </c>
      <c r="C37">
        <v>214810.2</v>
      </c>
      <c r="D37">
        <v>952.96</v>
      </c>
      <c r="E37">
        <v>196.91</v>
      </c>
      <c r="F37">
        <v>24.31</v>
      </c>
      <c r="G37">
        <v>1174.18</v>
      </c>
      <c r="H37">
        <f t="shared" si="0"/>
        <v>2024</v>
      </c>
      <c r="I37">
        <f t="shared" si="1"/>
        <v>14088.300000000001</v>
      </c>
      <c r="J37">
        <f t="shared" si="2"/>
        <v>11461.800000000001</v>
      </c>
      <c r="K37">
        <f t="shared" si="3"/>
        <v>2336.6400000000003</v>
      </c>
      <c r="L37">
        <f t="shared" si="4"/>
        <v>289.86</v>
      </c>
    </row>
    <row r="38" spans="1:12">
      <c r="A38" s="2">
        <v>45427</v>
      </c>
      <c r="B38" t="s">
        <v>4</v>
      </c>
      <c r="C38">
        <v>213857.24</v>
      </c>
      <c r="D38">
        <v>953.83</v>
      </c>
      <c r="E38">
        <v>196.04</v>
      </c>
      <c r="F38">
        <v>24.31</v>
      </c>
      <c r="G38">
        <v>1174.18</v>
      </c>
      <c r="H38">
        <f t="shared" si="0"/>
        <v>2024</v>
      </c>
      <c r="I38">
        <f t="shared" si="1"/>
        <v>14088.300000000001</v>
      </c>
      <c r="J38">
        <f t="shared" si="2"/>
        <v>11461.800000000001</v>
      </c>
      <c r="K38">
        <f t="shared" si="3"/>
        <v>2336.6400000000003</v>
      </c>
      <c r="L38">
        <f t="shared" si="4"/>
        <v>289.86</v>
      </c>
    </row>
    <row r="39" spans="1:12">
      <c r="A39" s="2">
        <v>45458</v>
      </c>
      <c r="B39" t="s">
        <v>4</v>
      </c>
      <c r="C39">
        <v>212903.41</v>
      </c>
      <c r="D39">
        <v>954.71</v>
      </c>
      <c r="E39">
        <v>195.16</v>
      </c>
      <c r="F39">
        <v>24.31</v>
      </c>
      <c r="G39">
        <v>1174.18</v>
      </c>
      <c r="H39">
        <f t="shared" si="0"/>
        <v>2024</v>
      </c>
      <c r="I39">
        <f t="shared" si="1"/>
        <v>14088.300000000001</v>
      </c>
      <c r="J39">
        <f t="shared" si="2"/>
        <v>11461.800000000001</v>
      </c>
      <c r="K39">
        <f t="shared" si="3"/>
        <v>2336.6400000000003</v>
      </c>
      <c r="L39">
        <f t="shared" si="4"/>
        <v>289.86</v>
      </c>
    </row>
    <row r="40" spans="1:12">
      <c r="A40" s="2">
        <v>45488</v>
      </c>
      <c r="B40" t="s">
        <v>4</v>
      </c>
      <c r="C40">
        <v>211948.7</v>
      </c>
      <c r="D40">
        <v>955.58</v>
      </c>
      <c r="E40">
        <v>194.29</v>
      </c>
      <c r="F40">
        <v>24.31</v>
      </c>
      <c r="G40">
        <v>1174.18</v>
      </c>
      <c r="H40">
        <f t="shared" si="0"/>
        <v>2024</v>
      </c>
      <c r="I40">
        <f t="shared" si="1"/>
        <v>14088.300000000001</v>
      </c>
      <c r="J40">
        <f t="shared" si="2"/>
        <v>11461.800000000001</v>
      </c>
      <c r="K40">
        <f t="shared" si="3"/>
        <v>2336.6400000000003</v>
      </c>
      <c r="L40">
        <f t="shared" si="4"/>
        <v>289.86</v>
      </c>
    </row>
    <row r="41" spans="1:12">
      <c r="A41" s="2">
        <v>45519</v>
      </c>
      <c r="B41" t="s">
        <v>4</v>
      </c>
      <c r="C41">
        <v>210993.12</v>
      </c>
      <c r="D41">
        <v>956.46</v>
      </c>
      <c r="E41">
        <v>193.41</v>
      </c>
      <c r="F41">
        <v>24.31</v>
      </c>
      <c r="G41">
        <v>1174.18</v>
      </c>
      <c r="H41">
        <f t="shared" si="0"/>
        <v>2024</v>
      </c>
      <c r="I41">
        <f t="shared" si="1"/>
        <v>14088.300000000001</v>
      </c>
      <c r="J41">
        <f t="shared" si="2"/>
        <v>11461.800000000001</v>
      </c>
      <c r="K41">
        <f t="shared" si="3"/>
        <v>2336.6400000000003</v>
      </c>
      <c r="L41">
        <f t="shared" si="4"/>
        <v>289.86</v>
      </c>
    </row>
    <row r="42" spans="1:12">
      <c r="A42" s="2">
        <v>45550</v>
      </c>
      <c r="B42" t="s">
        <v>4</v>
      </c>
      <c r="C42">
        <v>210036.66</v>
      </c>
      <c r="D42">
        <v>957.34</v>
      </c>
      <c r="E42">
        <v>192.53</v>
      </c>
      <c r="F42">
        <v>24.31</v>
      </c>
      <c r="G42">
        <v>1174.18</v>
      </c>
      <c r="H42">
        <f t="shared" si="0"/>
        <v>2024</v>
      </c>
      <c r="I42">
        <f t="shared" si="1"/>
        <v>14088.300000000001</v>
      </c>
      <c r="J42">
        <f t="shared" si="2"/>
        <v>11461.800000000001</v>
      </c>
      <c r="K42">
        <f t="shared" si="3"/>
        <v>2336.6400000000003</v>
      </c>
      <c r="L42">
        <f t="shared" si="4"/>
        <v>289.86</v>
      </c>
    </row>
    <row r="43" spans="1:12">
      <c r="A43" s="2">
        <v>45580</v>
      </c>
      <c r="B43" t="s">
        <v>4</v>
      </c>
      <c r="C43">
        <v>209079.32</v>
      </c>
      <c r="D43">
        <v>958.21</v>
      </c>
      <c r="E43">
        <v>191.66</v>
      </c>
      <c r="F43">
        <v>24.31</v>
      </c>
      <c r="G43">
        <v>1174.18</v>
      </c>
      <c r="H43">
        <f t="shared" si="0"/>
        <v>2024</v>
      </c>
      <c r="I43">
        <f t="shared" si="1"/>
        <v>14088.300000000001</v>
      </c>
      <c r="J43">
        <f t="shared" si="2"/>
        <v>11461.800000000001</v>
      </c>
      <c r="K43">
        <f t="shared" si="3"/>
        <v>2336.6400000000003</v>
      </c>
      <c r="L43">
        <f t="shared" si="4"/>
        <v>289.86</v>
      </c>
    </row>
    <row r="44" spans="1:12">
      <c r="A44" s="2">
        <v>45611</v>
      </c>
      <c r="B44" t="s">
        <v>4</v>
      </c>
      <c r="C44">
        <v>208121.11</v>
      </c>
      <c r="D44">
        <v>959.09</v>
      </c>
      <c r="E44">
        <v>190.78</v>
      </c>
      <c r="F44">
        <v>23.38</v>
      </c>
      <c r="G44">
        <v>1173.25</v>
      </c>
      <c r="H44">
        <f t="shared" si="0"/>
        <v>2024</v>
      </c>
      <c r="I44">
        <f t="shared" si="1"/>
        <v>14088.300000000001</v>
      </c>
      <c r="J44">
        <f t="shared" si="2"/>
        <v>11461.800000000001</v>
      </c>
      <c r="K44">
        <f t="shared" si="3"/>
        <v>2336.6400000000003</v>
      </c>
      <c r="L44">
        <f t="shared" si="4"/>
        <v>289.86</v>
      </c>
    </row>
    <row r="45" spans="1:12">
      <c r="A45" s="2">
        <v>45641</v>
      </c>
      <c r="B45" t="s">
        <v>4</v>
      </c>
      <c r="C45">
        <v>207162.02</v>
      </c>
      <c r="D45">
        <v>959.97</v>
      </c>
      <c r="E45">
        <v>189.9</v>
      </c>
      <c r="F45">
        <v>23.38</v>
      </c>
      <c r="G45">
        <v>1173.25</v>
      </c>
      <c r="H45">
        <f t="shared" si="0"/>
        <v>2024</v>
      </c>
      <c r="I45">
        <f t="shared" si="1"/>
        <v>14088.300000000001</v>
      </c>
      <c r="J45">
        <f t="shared" si="2"/>
        <v>11461.800000000001</v>
      </c>
      <c r="K45">
        <f t="shared" si="3"/>
        <v>2336.6400000000003</v>
      </c>
      <c r="L45">
        <f t="shared" si="4"/>
        <v>289.86</v>
      </c>
    </row>
    <row r="46" spans="1:12">
      <c r="A46" s="2">
        <v>45672</v>
      </c>
      <c r="B46" t="s">
        <v>4</v>
      </c>
      <c r="C46">
        <v>206202.05</v>
      </c>
      <c r="D46">
        <v>960.85</v>
      </c>
      <c r="E46">
        <v>189.02</v>
      </c>
      <c r="F46">
        <v>23.38</v>
      </c>
      <c r="G46">
        <v>1173.25</v>
      </c>
      <c r="H46">
        <f t="shared" si="0"/>
        <v>2025</v>
      </c>
      <c r="I46">
        <f t="shared" si="1"/>
        <v>14077.400000000001</v>
      </c>
      <c r="J46">
        <f t="shared" si="2"/>
        <v>11588.519999999999</v>
      </c>
      <c r="K46">
        <f t="shared" si="3"/>
        <v>2209.92</v>
      </c>
      <c r="L46">
        <f t="shared" si="4"/>
        <v>278.95999999999998</v>
      </c>
    </row>
    <row r="47" spans="1:12">
      <c r="A47" s="2">
        <v>45703</v>
      </c>
      <c r="B47" t="s">
        <v>4</v>
      </c>
      <c r="C47">
        <v>205241.2</v>
      </c>
      <c r="D47">
        <v>961.73</v>
      </c>
      <c r="E47">
        <v>188.14</v>
      </c>
      <c r="F47">
        <v>23.38</v>
      </c>
      <c r="G47">
        <v>1173.25</v>
      </c>
      <c r="H47">
        <f t="shared" si="0"/>
        <v>2025</v>
      </c>
      <c r="I47">
        <f t="shared" si="1"/>
        <v>14077.400000000001</v>
      </c>
      <c r="J47">
        <f t="shared" si="2"/>
        <v>11588.519999999999</v>
      </c>
      <c r="K47">
        <f t="shared" si="3"/>
        <v>2209.92</v>
      </c>
      <c r="L47">
        <f t="shared" si="4"/>
        <v>278.95999999999998</v>
      </c>
    </row>
    <row r="48" spans="1:12">
      <c r="A48" s="2">
        <v>45731</v>
      </c>
      <c r="B48" t="s">
        <v>4</v>
      </c>
      <c r="C48">
        <v>204279.47</v>
      </c>
      <c r="D48">
        <v>962.61</v>
      </c>
      <c r="E48">
        <v>187.26</v>
      </c>
      <c r="F48">
        <v>23.38</v>
      </c>
      <c r="G48">
        <v>1173.25</v>
      </c>
      <c r="H48">
        <f t="shared" si="0"/>
        <v>2025</v>
      </c>
      <c r="I48">
        <f t="shared" si="1"/>
        <v>14077.400000000001</v>
      </c>
      <c r="J48">
        <f t="shared" si="2"/>
        <v>11588.519999999999</v>
      </c>
      <c r="K48">
        <f t="shared" si="3"/>
        <v>2209.92</v>
      </c>
      <c r="L48">
        <f t="shared" si="4"/>
        <v>278.95999999999998</v>
      </c>
    </row>
    <row r="49" spans="1:12">
      <c r="A49" s="2">
        <v>45762</v>
      </c>
      <c r="B49" t="s">
        <v>4</v>
      </c>
      <c r="C49">
        <v>203316.86</v>
      </c>
      <c r="D49">
        <v>963.5</v>
      </c>
      <c r="E49">
        <v>186.37</v>
      </c>
      <c r="F49">
        <v>23.38</v>
      </c>
      <c r="G49">
        <v>1173.25</v>
      </c>
      <c r="H49">
        <f t="shared" si="0"/>
        <v>2025</v>
      </c>
      <c r="I49">
        <f t="shared" si="1"/>
        <v>14077.400000000001</v>
      </c>
      <c r="J49">
        <f t="shared" si="2"/>
        <v>11588.519999999999</v>
      </c>
      <c r="K49">
        <f t="shared" si="3"/>
        <v>2209.92</v>
      </c>
      <c r="L49">
        <f t="shared" si="4"/>
        <v>278.95999999999998</v>
      </c>
    </row>
    <row r="50" spans="1:12">
      <c r="A50" s="2">
        <v>45792</v>
      </c>
      <c r="B50" t="s">
        <v>4</v>
      </c>
      <c r="C50">
        <v>202353.36</v>
      </c>
      <c r="D50">
        <v>964.38</v>
      </c>
      <c r="E50">
        <v>185.49</v>
      </c>
      <c r="F50">
        <v>23.38</v>
      </c>
      <c r="G50">
        <v>1173.25</v>
      </c>
      <c r="H50">
        <f t="shared" si="0"/>
        <v>2025</v>
      </c>
      <c r="I50">
        <f t="shared" si="1"/>
        <v>14077.400000000001</v>
      </c>
      <c r="J50">
        <f t="shared" si="2"/>
        <v>11588.519999999999</v>
      </c>
      <c r="K50">
        <f t="shared" si="3"/>
        <v>2209.92</v>
      </c>
      <c r="L50">
        <f t="shared" si="4"/>
        <v>278.95999999999998</v>
      </c>
    </row>
    <row r="51" spans="1:12">
      <c r="A51" s="2">
        <v>45823</v>
      </c>
      <c r="B51" t="s">
        <v>4</v>
      </c>
      <c r="C51">
        <v>201388.98</v>
      </c>
      <c r="D51">
        <v>965.26</v>
      </c>
      <c r="E51">
        <v>184.61</v>
      </c>
      <c r="F51">
        <v>23.38</v>
      </c>
      <c r="G51">
        <v>1173.25</v>
      </c>
      <c r="H51">
        <f t="shared" si="0"/>
        <v>2025</v>
      </c>
      <c r="I51">
        <f t="shared" si="1"/>
        <v>14077.400000000001</v>
      </c>
      <c r="J51">
        <f t="shared" si="2"/>
        <v>11588.519999999999</v>
      </c>
      <c r="K51">
        <f t="shared" si="3"/>
        <v>2209.92</v>
      </c>
      <c r="L51">
        <f t="shared" si="4"/>
        <v>278.95999999999998</v>
      </c>
    </row>
    <row r="52" spans="1:12">
      <c r="A52" s="2">
        <v>45853</v>
      </c>
      <c r="B52" t="s">
        <v>4</v>
      </c>
      <c r="C52">
        <v>200423.72</v>
      </c>
      <c r="D52">
        <v>966.15</v>
      </c>
      <c r="E52">
        <v>183.72</v>
      </c>
      <c r="F52">
        <v>23.38</v>
      </c>
      <c r="G52">
        <v>1173.25</v>
      </c>
      <c r="H52">
        <f t="shared" si="0"/>
        <v>2025</v>
      </c>
      <c r="I52">
        <f t="shared" si="1"/>
        <v>14077.400000000001</v>
      </c>
      <c r="J52">
        <f t="shared" si="2"/>
        <v>11588.519999999999</v>
      </c>
      <c r="K52">
        <f t="shared" si="3"/>
        <v>2209.92</v>
      </c>
      <c r="L52">
        <f t="shared" si="4"/>
        <v>278.95999999999998</v>
      </c>
    </row>
    <row r="53" spans="1:12">
      <c r="A53" s="2">
        <v>45884</v>
      </c>
      <c r="B53" t="s">
        <v>4</v>
      </c>
      <c r="C53">
        <v>199457.57</v>
      </c>
      <c r="D53">
        <v>967.03</v>
      </c>
      <c r="E53">
        <v>182.84</v>
      </c>
      <c r="F53">
        <v>23.38</v>
      </c>
      <c r="G53">
        <v>1173.25</v>
      </c>
      <c r="H53">
        <f t="shared" si="0"/>
        <v>2025</v>
      </c>
      <c r="I53">
        <f t="shared" si="1"/>
        <v>14077.400000000001</v>
      </c>
      <c r="J53">
        <f t="shared" si="2"/>
        <v>11588.519999999999</v>
      </c>
      <c r="K53">
        <f t="shared" si="3"/>
        <v>2209.92</v>
      </c>
      <c r="L53">
        <f t="shared" si="4"/>
        <v>278.95999999999998</v>
      </c>
    </row>
    <row r="54" spans="1:12">
      <c r="A54" s="2">
        <v>45915</v>
      </c>
      <c r="B54" t="s">
        <v>4</v>
      </c>
      <c r="C54">
        <v>198490.54</v>
      </c>
      <c r="D54">
        <v>967.92</v>
      </c>
      <c r="E54">
        <v>181.95</v>
      </c>
      <c r="F54">
        <v>23.38</v>
      </c>
      <c r="G54">
        <v>1173.25</v>
      </c>
      <c r="H54">
        <f t="shared" si="0"/>
        <v>2025</v>
      </c>
      <c r="I54">
        <f t="shared" si="1"/>
        <v>14077.400000000001</v>
      </c>
      <c r="J54">
        <f t="shared" si="2"/>
        <v>11588.519999999999</v>
      </c>
      <c r="K54">
        <f t="shared" si="3"/>
        <v>2209.92</v>
      </c>
      <c r="L54">
        <f t="shared" si="4"/>
        <v>278.95999999999998</v>
      </c>
    </row>
    <row r="55" spans="1:12">
      <c r="A55" s="2">
        <v>45945</v>
      </c>
      <c r="B55" t="s">
        <v>4</v>
      </c>
      <c r="C55">
        <v>197522.62</v>
      </c>
      <c r="D55">
        <v>968.81</v>
      </c>
      <c r="E55">
        <v>181.06</v>
      </c>
      <c r="F55">
        <v>23.38</v>
      </c>
      <c r="G55">
        <v>1173.25</v>
      </c>
      <c r="H55">
        <f t="shared" si="0"/>
        <v>2025</v>
      </c>
      <c r="I55">
        <f t="shared" si="1"/>
        <v>14077.400000000001</v>
      </c>
      <c r="J55">
        <f t="shared" si="2"/>
        <v>11588.519999999999</v>
      </c>
      <c r="K55">
        <f t="shared" si="3"/>
        <v>2209.92</v>
      </c>
      <c r="L55">
        <f t="shared" si="4"/>
        <v>278.95999999999998</v>
      </c>
    </row>
    <row r="56" spans="1:12">
      <c r="A56" s="2">
        <v>45976</v>
      </c>
      <c r="B56" t="s">
        <v>4</v>
      </c>
      <c r="C56">
        <v>196553.81</v>
      </c>
      <c r="D56">
        <v>969.7</v>
      </c>
      <c r="E56">
        <v>180.17</v>
      </c>
      <c r="F56">
        <v>22.58</v>
      </c>
      <c r="G56">
        <v>1172.45</v>
      </c>
      <c r="H56">
        <f t="shared" si="0"/>
        <v>2025</v>
      </c>
      <c r="I56">
        <f t="shared" si="1"/>
        <v>14077.400000000001</v>
      </c>
      <c r="J56">
        <f t="shared" si="2"/>
        <v>11588.519999999999</v>
      </c>
      <c r="K56">
        <f t="shared" si="3"/>
        <v>2209.92</v>
      </c>
      <c r="L56">
        <f t="shared" si="4"/>
        <v>278.95999999999998</v>
      </c>
    </row>
    <row r="57" spans="1:12">
      <c r="A57" s="2">
        <v>46006</v>
      </c>
      <c r="B57" t="s">
        <v>4</v>
      </c>
      <c r="C57">
        <v>195584.11</v>
      </c>
      <c r="D57">
        <v>970.58</v>
      </c>
      <c r="E57">
        <v>179.29</v>
      </c>
      <c r="F57">
        <v>22.58</v>
      </c>
      <c r="G57">
        <v>1172.45</v>
      </c>
      <c r="H57">
        <f t="shared" si="0"/>
        <v>2025</v>
      </c>
      <c r="I57">
        <f t="shared" si="1"/>
        <v>14077.400000000001</v>
      </c>
      <c r="J57">
        <f t="shared" si="2"/>
        <v>11588.519999999999</v>
      </c>
      <c r="K57">
        <f t="shared" si="3"/>
        <v>2209.92</v>
      </c>
      <c r="L57">
        <f t="shared" si="4"/>
        <v>278.95999999999998</v>
      </c>
    </row>
    <row r="58" spans="1:12">
      <c r="A58" s="2">
        <v>46037</v>
      </c>
      <c r="B58" t="s">
        <v>4</v>
      </c>
      <c r="C58">
        <v>194613.53</v>
      </c>
      <c r="D58">
        <v>971.47</v>
      </c>
      <c r="E58">
        <v>178.4</v>
      </c>
      <c r="F58">
        <v>22.58</v>
      </c>
      <c r="G58">
        <v>1172.45</v>
      </c>
      <c r="H58">
        <f t="shared" si="0"/>
        <v>2026</v>
      </c>
      <c r="I58">
        <f t="shared" si="1"/>
        <v>14068.020000000002</v>
      </c>
      <c r="J58">
        <f t="shared" si="2"/>
        <v>11716.650000000001</v>
      </c>
      <c r="K58">
        <f t="shared" si="3"/>
        <v>2081.79</v>
      </c>
      <c r="L58">
        <f t="shared" si="4"/>
        <v>269.57999999999993</v>
      </c>
    </row>
    <row r="59" spans="1:12">
      <c r="A59" s="2">
        <v>46068</v>
      </c>
      <c r="B59" t="s">
        <v>4</v>
      </c>
      <c r="C59">
        <v>193642.06</v>
      </c>
      <c r="D59">
        <v>972.36</v>
      </c>
      <c r="E59">
        <v>177.51</v>
      </c>
      <c r="F59">
        <v>22.58</v>
      </c>
      <c r="G59">
        <v>1172.45</v>
      </c>
      <c r="H59">
        <f t="shared" si="0"/>
        <v>2026</v>
      </c>
      <c r="I59">
        <f t="shared" si="1"/>
        <v>14068.020000000002</v>
      </c>
      <c r="J59">
        <f t="shared" si="2"/>
        <v>11716.650000000001</v>
      </c>
      <c r="K59">
        <f t="shared" si="3"/>
        <v>2081.79</v>
      </c>
      <c r="L59">
        <f t="shared" si="4"/>
        <v>269.57999999999993</v>
      </c>
    </row>
    <row r="60" spans="1:12">
      <c r="A60" s="2">
        <v>46096</v>
      </c>
      <c r="B60" t="s">
        <v>4</v>
      </c>
      <c r="C60">
        <v>192669.7</v>
      </c>
      <c r="D60">
        <v>973.26</v>
      </c>
      <c r="E60">
        <v>176.61</v>
      </c>
      <c r="F60">
        <v>22.58</v>
      </c>
      <c r="G60">
        <v>1172.45</v>
      </c>
      <c r="H60">
        <f t="shared" si="0"/>
        <v>2026</v>
      </c>
      <c r="I60">
        <f t="shared" si="1"/>
        <v>14068.020000000002</v>
      </c>
      <c r="J60">
        <f t="shared" si="2"/>
        <v>11716.650000000001</v>
      </c>
      <c r="K60">
        <f t="shared" si="3"/>
        <v>2081.79</v>
      </c>
      <c r="L60">
        <f t="shared" si="4"/>
        <v>269.57999999999993</v>
      </c>
    </row>
    <row r="61" spans="1:12">
      <c r="A61" s="2">
        <v>46127</v>
      </c>
      <c r="B61" t="s">
        <v>4</v>
      </c>
      <c r="C61">
        <v>191696.44</v>
      </c>
      <c r="D61">
        <v>974.15</v>
      </c>
      <c r="E61">
        <v>175.72</v>
      </c>
      <c r="F61">
        <v>22.58</v>
      </c>
      <c r="G61">
        <v>1172.45</v>
      </c>
      <c r="H61">
        <f t="shared" si="0"/>
        <v>2026</v>
      </c>
      <c r="I61">
        <f t="shared" si="1"/>
        <v>14068.020000000002</v>
      </c>
      <c r="J61">
        <f t="shared" si="2"/>
        <v>11716.650000000001</v>
      </c>
      <c r="K61">
        <f t="shared" si="3"/>
        <v>2081.79</v>
      </c>
      <c r="L61">
        <f t="shared" si="4"/>
        <v>269.57999999999993</v>
      </c>
    </row>
    <row r="62" spans="1:12">
      <c r="A62" s="2">
        <v>46157</v>
      </c>
      <c r="B62" t="s">
        <v>4</v>
      </c>
      <c r="C62">
        <v>190722.29</v>
      </c>
      <c r="D62">
        <v>975.04</v>
      </c>
      <c r="E62">
        <v>174.83</v>
      </c>
      <c r="F62">
        <v>22.58</v>
      </c>
      <c r="G62">
        <v>1172.45</v>
      </c>
      <c r="H62">
        <f t="shared" si="0"/>
        <v>2026</v>
      </c>
      <c r="I62">
        <f t="shared" si="1"/>
        <v>14068.020000000002</v>
      </c>
      <c r="J62">
        <f t="shared" si="2"/>
        <v>11716.650000000001</v>
      </c>
      <c r="K62">
        <f t="shared" si="3"/>
        <v>2081.79</v>
      </c>
      <c r="L62">
        <f t="shared" si="4"/>
        <v>269.57999999999993</v>
      </c>
    </row>
    <row r="63" spans="1:12">
      <c r="A63" s="2">
        <v>46188</v>
      </c>
      <c r="B63" t="s">
        <v>4</v>
      </c>
      <c r="C63">
        <v>189747.25</v>
      </c>
      <c r="D63">
        <v>975.94</v>
      </c>
      <c r="E63">
        <v>173.93</v>
      </c>
      <c r="F63">
        <v>22.58</v>
      </c>
      <c r="G63">
        <v>1172.45</v>
      </c>
      <c r="H63">
        <f t="shared" si="0"/>
        <v>2026</v>
      </c>
      <c r="I63">
        <f t="shared" si="1"/>
        <v>14068.020000000002</v>
      </c>
      <c r="J63">
        <f t="shared" si="2"/>
        <v>11716.650000000001</v>
      </c>
      <c r="K63">
        <f t="shared" si="3"/>
        <v>2081.79</v>
      </c>
      <c r="L63">
        <f t="shared" si="4"/>
        <v>269.57999999999993</v>
      </c>
    </row>
    <row r="64" spans="1:12">
      <c r="A64" s="2">
        <v>46218</v>
      </c>
      <c r="B64" t="s">
        <v>4</v>
      </c>
      <c r="C64">
        <v>188771.31</v>
      </c>
      <c r="D64">
        <v>976.83</v>
      </c>
      <c r="E64">
        <v>173.04</v>
      </c>
      <c r="F64">
        <v>22.58</v>
      </c>
      <c r="G64">
        <v>1172.45</v>
      </c>
      <c r="H64">
        <f t="shared" si="0"/>
        <v>2026</v>
      </c>
      <c r="I64">
        <f t="shared" si="1"/>
        <v>14068.020000000002</v>
      </c>
      <c r="J64">
        <f t="shared" si="2"/>
        <v>11716.650000000001</v>
      </c>
      <c r="K64">
        <f t="shared" si="3"/>
        <v>2081.79</v>
      </c>
      <c r="L64">
        <f t="shared" si="4"/>
        <v>269.57999999999993</v>
      </c>
    </row>
    <row r="65" spans="1:12">
      <c r="A65" s="2">
        <v>46249</v>
      </c>
      <c r="B65" t="s">
        <v>4</v>
      </c>
      <c r="C65">
        <v>187794.48</v>
      </c>
      <c r="D65">
        <v>977.73</v>
      </c>
      <c r="E65">
        <v>172.14</v>
      </c>
      <c r="F65">
        <v>22.58</v>
      </c>
      <c r="G65">
        <v>1172.45</v>
      </c>
      <c r="H65">
        <f t="shared" si="0"/>
        <v>2026</v>
      </c>
      <c r="I65">
        <f t="shared" si="1"/>
        <v>14068.020000000002</v>
      </c>
      <c r="J65">
        <f t="shared" si="2"/>
        <v>11716.650000000001</v>
      </c>
      <c r="K65">
        <f t="shared" si="3"/>
        <v>2081.79</v>
      </c>
      <c r="L65">
        <f t="shared" si="4"/>
        <v>269.57999999999993</v>
      </c>
    </row>
    <row r="66" spans="1:12">
      <c r="A66" s="2">
        <v>46280</v>
      </c>
      <c r="B66" t="s">
        <v>4</v>
      </c>
      <c r="C66">
        <v>186816.75</v>
      </c>
      <c r="D66">
        <v>978.62</v>
      </c>
      <c r="E66">
        <v>171.25</v>
      </c>
      <c r="F66">
        <v>22.58</v>
      </c>
      <c r="G66">
        <v>1172.45</v>
      </c>
      <c r="H66">
        <f t="shared" si="0"/>
        <v>2026</v>
      </c>
      <c r="I66">
        <f t="shared" si="1"/>
        <v>14068.020000000002</v>
      </c>
      <c r="J66">
        <f t="shared" si="2"/>
        <v>11716.650000000001</v>
      </c>
      <c r="K66">
        <f t="shared" si="3"/>
        <v>2081.79</v>
      </c>
      <c r="L66">
        <f t="shared" si="4"/>
        <v>269.57999999999993</v>
      </c>
    </row>
    <row r="67" spans="1:12">
      <c r="A67" s="2">
        <v>46310</v>
      </c>
      <c r="B67" t="s">
        <v>4</v>
      </c>
      <c r="C67">
        <v>185838.13</v>
      </c>
      <c r="D67">
        <v>979.52</v>
      </c>
      <c r="E67">
        <v>170.35</v>
      </c>
      <c r="F67">
        <v>22.58</v>
      </c>
      <c r="G67">
        <v>1172.45</v>
      </c>
      <c r="H67">
        <f t="shared" si="0"/>
        <v>2026</v>
      </c>
      <c r="I67">
        <f t="shared" si="1"/>
        <v>14068.020000000002</v>
      </c>
      <c r="J67">
        <f t="shared" si="2"/>
        <v>11716.650000000001</v>
      </c>
      <c r="K67">
        <f t="shared" si="3"/>
        <v>2081.79</v>
      </c>
      <c r="L67">
        <f t="shared" si="4"/>
        <v>269.57999999999993</v>
      </c>
    </row>
    <row r="68" spans="1:12">
      <c r="A68" s="2">
        <v>46341</v>
      </c>
      <c r="B68" t="s">
        <v>4</v>
      </c>
      <c r="C68">
        <v>184858.61</v>
      </c>
      <c r="D68">
        <v>980.42</v>
      </c>
      <c r="E68">
        <v>169.45</v>
      </c>
      <c r="F68">
        <v>21.89</v>
      </c>
      <c r="G68">
        <v>1171.76</v>
      </c>
      <c r="H68">
        <f t="shared" si="0"/>
        <v>2026</v>
      </c>
      <c r="I68">
        <f t="shared" si="1"/>
        <v>14068.020000000002</v>
      </c>
      <c r="J68">
        <f t="shared" si="2"/>
        <v>11716.650000000001</v>
      </c>
      <c r="K68">
        <f t="shared" si="3"/>
        <v>2081.79</v>
      </c>
      <c r="L68">
        <f t="shared" si="4"/>
        <v>269.57999999999993</v>
      </c>
    </row>
    <row r="69" spans="1:12">
      <c r="A69" s="2">
        <v>46371</v>
      </c>
      <c r="B69" t="s">
        <v>4</v>
      </c>
      <c r="C69">
        <v>183878.19</v>
      </c>
      <c r="D69">
        <v>981.31</v>
      </c>
      <c r="E69">
        <v>168.56</v>
      </c>
      <c r="F69">
        <v>21.89</v>
      </c>
      <c r="G69">
        <v>1171.76</v>
      </c>
      <c r="H69">
        <f t="shared" si="0"/>
        <v>2026</v>
      </c>
      <c r="I69">
        <f t="shared" si="1"/>
        <v>14068.020000000002</v>
      </c>
      <c r="J69">
        <f t="shared" si="2"/>
        <v>11716.650000000001</v>
      </c>
      <c r="K69">
        <f t="shared" si="3"/>
        <v>2081.79</v>
      </c>
      <c r="L69">
        <f t="shared" si="4"/>
        <v>269.57999999999993</v>
      </c>
    </row>
    <row r="70" spans="1:12">
      <c r="A70" s="2">
        <v>46402</v>
      </c>
      <c r="B70" t="s">
        <v>4</v>
      </c>
      <c r="C70">
        <v>182896.88</v>
      </c>
      <c r="D70">
        <v>982.21</v>
      </c>
      <c r="E70">
        <v>167.66</v>
      </c>
      <c r="F70">
        <v>21.89</v>
      </c>
      <c r="G70">
        <v>1171.76</v>
      </c>
      <c r="H70">
        <f t="shared" si="0"/>
        <v>2027</v>
      </c>
      <c r="I70">
        <f t="shared" si="1"/>
        <v>14059.84</v>
      </c>
      <c r="J70">
        <f t="shared" si="2"/>
        <v>11846.17</v>
      </c>
      <c r="K70">
        <f t="shared" si="3"/>
        <v>1952.27</v>
      </c>
      <c r="L70">
        <f t="shared" si="4"/>
        <v>261.39999999999998</v>
      </c>
    </row>
    <row r="71" spans="1:12">
      <c r="A71" s="2">
        <v>46433</v>
      </c>
      <c r="B71" t="s">
        <v>4</v>
      </c>
      <c r="C71">
        <v>181914.67</v>
      </c>
      <c r="D71">
        <v>983.11</v>
      </c>
      <c r="E71">
        <v>166.76</v>
      </c>
      <c r="F71">
        <v>21.89</v>
      </c>
      <c r="G71">
        <v>1171.76</v>
      </c>
      <c r="H71">
        <f t="shared" si="0"/>
        <v>2027</v>
      </c>
      <c r="I71">
        <f t="shared" si="1"/>
        <v>14059.84</v>
      </c>
      <c r="J71">
        <f t="shared" si="2"/>
        <v>11846.17</v>
      </c>
      <c r="K71">
        <f t="shared" si="3"/>
        <v>1952.27</v>
      </c>
      <c r="L71">
        <f t="shared" si="4"/>
        <v>261.39999999999998</v>
      </c>
    </row>
    <row r="72" spans="1:12">
      <c r="A72" s="2">
        <v>46461</v>
      </c>
      <c r="B72" t="s">
        <v>4</v>
      </c>
      <c r="C72">
        <v>180931.56</v>
      </c>
      <c r="D72">
        <v>984.02</v>
      </c>
      <c r="E72">
        <v>165.85</v>
      </c>
      <c r="F72">
        <v>21.89</v>
      </c>
      <c r="G72">
        <v>1171.76</v>
      </c>
      <c r="H72">
        <f t="shared" si="0"/>
        <v>2027</v>
      </c>
      <c r="I72">
        <f t="shared" si="1"/>
        <v>14059.84</v>
      </c>
      <c r="J72">
        <f t="shared" si="2"/>
        <v>11846.17</v>
      </c>
      <c r="K72">
        <f t="shared" si="3"/>
        <v>1952.27</v>
      </c>
      <c r="L72">
        <f t="shared" si="4"/>
        <v>261.39999999999998</v>
      </c>
    </row>
    <row r="73" spans="1:12">
      <c r="A73" s="2">
        <v>46492</v>
      </c>
      <c r="B73" t="s">
        <v>4</v>
      </c>
      <c r="C73">
        <v>179947.54</v>
      </c>
      <c r="D73">
        <v>984.92</v>
      </c>
      <c r="E73">
        <v>164.95</v>
      </c>
      <c r="F73">
        <v>21.89</v>
      </c>
      <c r="G73">
        <v>1171.76</v>
      </c>
      <c r="H73">
        <f t="shared" ref="H73:H136" si="5">YEAR(A73)</f>
        <v>2027</v>
      </c>
      <c r="I73">
        <f t="shared" ref="I73:I136" si="6">SUMIF(H:H,H73,G:G)</f>
        <v>14059.84</v>
      </c>
      <c r="J73">
        <f t="shared" ref="J73:J136" si="7">SUMIF(H:H,H73,D:D)</f>
        <v>11846.17</v>
      </c>
      <c r="K73">
        <f t="shared" ref="K73:K136" si="8">SUMIF(H:H,H73,E:E)</f>
        <v>1952.27</v>
      </c>
      <c r="L73">
        <f t="shared" ref="L73:L136" si="9">SUMIF(H:H,H73,F:F)</f>
        <v>261.39999999999998</v>
      </c>
    </row>
    <row r="74" spans="1:12">
      <c r="A74" s="2">
        <v>46522</v>
      </c>
      <c r="B74" t="s">
        <v>4</v>
      </c>
      <c r="C74">
        <v>178962.62</v>
      </c>
      <c r="D74">
        <v>985.82</v>
      </c>
      <c r="E74">
        <v>164.05</v>
      </c>
      <c r="F74">
        <v>21.89</v>
      </c>
      <c r="G74">
        <v>1171.76</v>
      </c>
      <c r="H74">
        <f t="shared" si="5"/>
        <v>2027</v>
      </c>
      <c r="I74">
        <f t="shared" si="6"/>
        <v>14059.84</v>
      </c>
      <c r="J74">
        <f t="shared" si="7"/>
        <v>11846.17</v>
      </c>
      <c r="K74">
        <f t="shared" si="8"/>
        <v>1952.27</v>
      </c>
      <c r="L74">
        <f t="shared" si="9"/>
        <v>261.39999999999998</v>
      </c>
    </row>
    <row r="75" spans="1:12">
      <c r="A75" s="2">
        <v>46553</v>
      </c>
      <c r="B75" t="s">
        <v>4</v>
      </c>
      <c r="C75">
        <v>177976.8</v>
      </c>
      <c r="D75">
        <v>986.72</v>
      </c>
      <c r="E75">
        <v>163.15</v>
      </c>
      <c r="F75">
        <v>21.89</v>
      </c>
      <c r="G75">
        <v>1171.76</v>
      </c>
      <c r="H75">
        <f t="shared" si="5"/>
        <v>2027</v>
      </c>
      <c r="I75">
        <f t="shared" si="6"/>
        <v>14059.84</v>
      </c>
      <c r="J75">
        <f t="shared" si="7"/>
        <v>11846.17</v>
      </c>
      <c r="K75">
        <f t="shared" si="8"/>
        <v>1952.27</v>
      </c>
      <c r="L75">
        <f t="shared" si="9"/>
        <v>261.39999999999998</v>
      </c>
    </row>
    <row r="76" spans="1:12">
      <c r="A76" s="2">
        <v>46583</v>
      </c>
      <c r="B76" t="s">
        <v>4</v>
      </c>
      <c r="C76">
        <v>176990.07999999999</v>
      </c>
      <c r="D76">
        <v>987.63</v>
      </c>
      <c r="E76">
        <v>162.24</v>
      </c>
      <c r="F76">
        <v>21.89</v>
      </c>
      <c r="G76">
        <v>1171.76</v>
      </c>
      <c r="H76">
        <f t="shared" si="5"/>
        <v>2027</v>
      </c>
      <c r="I76">
        <f t="shared" si="6"/>
        <v>14059.84</v>
      </c>
      <c r="J76">
        <f t="shared" si="7"/>
        <v>11846.17</v>
      </c>
      <c r="K76">
        <f t="shared" si="8"/>
        <v>1952.27</v>
      </c>
      <c r="L76">
        <f t="shared" si="9"/>
        <v>261.39999999999998</v>
      </c>
    </row>
    <row r="77" spans="1:12">
      <c r="A77" s="2">
        <v>46614</v>
      </c>
      <c r="B77" t="s">
        <v>4</v>
      </c>
      <c r="C77">
        <v>176002.45</v>
      </c>
      <c r="D77">
        <v>988.53</v>
      </c>
      <c r="E77">
        <v>161.34</v>
      </c>
      <c r="F77">
        <v>21.89</v>
      </c>
      <c r="G77">
        <v>1171.76</v>
      </c>
      <c r="H77">
        <f t="shared" si="5"/>
        <v>2027</v>
      </c>
      <c r="I77">
        <f t="shared" si="6"/>
        <v>14059.84</v>
      </c>
      <c r="J77">
        <f t="shared" si="7"/>
        <v>11846.17</v>
      </c>
      <c r="K77">
        <f t="shared" si="8"/>
        <v>1952.27</v>
      </c>
      <c r="L77">
        <f t="shared" si="9"/>
        <v>261.39999999999998</v>
      </c>
    </row>
    <row r="78" spans="1:12">
      <c r="A78" s="2">
        <v>46645</v>
      </c>
      <c r="B78" t="s">
        <v>4</v>
      </c>
      <c r="C78">
        <v>175013.92</v>
      </c>
      <c r="D78">
        <v>989.44</v>
      </c>
      <c r="E78">
        <v>160.43</v>
      </c>
      <c r="F78">
        <v>21.89</v>
      </c>
      <c r="G78">
        <v>1171.76</v>
      </c>
      <c r="H78">
        <f t="shared" si="5"/>
        <v>2027</v>
      </c>
      <c r="I78">
        <f t="shared" si="6"/>
        <v>14059.84</v>
      </c>
      <c r="J78">
        <f t="shared" si="7"/>
        <v>11846.17</v>
      </c>
      <c r="K78">
        <f t="shared" si="8"/>
        <v>1952.27</v>
      </c>
      <c r="L78">
        <f t="shared" si="9"/>
        <v>261.39999999999998</v>
      </c>
    </row>
    <row r="79" spans="1:12">
      <c r="A79" s="2">
        <v>46675</v>
      </c>
      <c r="B79" t="s">
        <v>4</v>
      </c>
      <c r="C79">
        <v>174024.48</v>
      </c>
      <c r="D79">
        <v>990.35</v>
      </c>
      <c r="E79">
        <v>159.52000000000001</v>
      </c>
      <c r="F79">
        <v>21.89</v>
      </c>
      <c r="G79">
        <v>1171.76</v>
      </c>
      <c r="H79">
        <f t="shared" si="5"/>
        <v>2027</v>
      </c>
      <c r="I79">
        <f t="shared" si="6"/>
        <v>14059.84</v>
      </c>
      <c r="J79">
        <f t="shared" si="7"/>
        <v>11846.17</v>
      </c>
      <c r="K79">
        <f t="shared" si="8"/>
        <v>1952.27</v>
      </c>
      <c r="L79">
        <f t="shared" si="9"/>
        <v>261.39999999999998</v>
      </c>
    </row>
    <row r="80" spans="1:12">
      <c r="A80" s="2">
        <v>46706</v>
      </c>
      <c r="B80" t="s">
        <v>4</v>
      </c>
      <c r="C80">
        <v>173034.13</v>
      </c>
      <c r="D80">
        <v>991.26</v>
      </c>
      <c r="E80">
        <v>158.61000000000001</v>
      </c>
      <c r="F80">
        <v>21.25</v>
      </c>
      <c r="G80">
        <v>1171.1199999999999</v>
      </c>
      <c r="H80">
        <f t="shared" si="5"/>
        <v>2027</v>
      </c>
      <c r="I80">
        <f t="shared" si="6"/>
        <v>14059.84</v>
      </c>
      <c r="J80">
        <f t="shared" si="7"/>
        <v>11846.17</v>
      </c>
      <c r="K80">
        <f t="shared" si="8"/>
        <v>1952.27</v>
      </c>
      <c r="L80">
        <f t="shared" si="9"/>
        <v>261.39999999999998</v>
      </c>
    </row>
    <row r="81" spans="1:12">
      <c r="A81" s="2">
        <v>46736</v>
      </c>
      <c r="B81" t="s">
        <v>4</v>
      </c>
      <c r="C81">
        <v>172042.87</v>
      </c>
      <c r="D81">
        <v>992.16</v>
      </c>
      <c r="E81">
        <v>157.71</v>
      </c>
      <c r="F81">
        <v>21.25</v>
      </c>
      <c r="G81">
        <v>1171.1199999999999</v>
      </c>
      <c r="H81">
        <f t="shared" si="5"/>
        <v>2027</v>
      </c>
      <c r="I81">
        <f t="shared" si="6"/>
        <v>14059.84</v>
      </c>
      <c r="J81">
        <f t="shared" si="7"/>
        <v>11846.17</v>
      </c>
      <c r="K81">
        <f t="shared" si="8"/>
        <v>1952.27</v>
      </c>
      <c r="L81">
        <f t="shared" si="9"/>
        <v>261.39999999999998</v>
      </c>
    </row>
    <row r="82" spans="1:12">
      <c r="A82" s="2">
        <v>46767</v>
      </c>
      <c r="B82" t="s">
        <v>4</v>
      </c>
      <c r="C82">
        <v>171050.71</v>
      </c>
      <c r="D82">
        <v>993.07</v>
      </c>
      <c r="E82">
        <v>156.80000000000001</v>
      </c>
      <c r="F82">
        <v>21.25</v>
      </c>
      <c r="G82">
        <v>1171.1199999999999</v>
      </c>
      <c r="H82">
        <f t="shared" si="5"/>
        <v>2028</v>
      </c>
      <c r="I82">
        <f t="shared" si="6"/>
        <v>14051.799999999996</v>
      </c>
      <c r="J82">
        <f t="shared" si="7"/>
        <v>11977.13</v>
      </c>
      <c r="K82">
        <f t="shared" si="8"/>
        <v>1821.3100000000002</v>
      </c>
      <c r="L82">
        <f t="shared" si="9"/>
        <v>253.36</v>
      </c>
    </row>
    <row r="83" spans="1:12">
      <c r="A83" s="2">
        <v>46798</v>
      </c>
      <c r="B83" t="s">
        <v>4</v>
      </c>
      <c r="C83">
        <v>170057.64</v>
      </c>
      <c r="D83">
        <v>993.98</v>
      </c>
      <c r="E83">
        <v>155.88999999999999</v>
      </c>
      <c r="F83">
        <v>21.25</v>
      </c>
      <c r="G83">
        <v>1171.1199999999999</v>
      </c>
      <c r="H83">
        <f t="shared" si="5"/>
        <v>2028</v>
      </c>
      <c r="I83">
        <f t="shared" si="6"/>
        <v>14051.799999999996</v>
      </c>
      <c r="J83">
        <f t="shared" si="7"/>
        <v>11977.13</v>
      </c>
      <c r="K83">
        <f t="shared" si="8"/>
        <v>1821.3100000000002</v>
      </c>
      <c r="L83">
        <f t="shared" si="9"/>
        <v>253.36</v>
      </c>
    </row>
    <row r="84" spans="1:12">
      <c r="A84" s="2">
        <v>46827</v>
      </c>
      <c r="B84" t="s">
        <v>4</v>
      </c>
      <c r="C84">
        <v>169063.66</v>
      </c>
      <c r="D84">
        <v>994.89</v>
      </c>
      <c r="E84">
        <v>154.97999999999999</v>
      </c>
      <c r="F84">
        <v>21.25</v>
      </c>
      <c r="G84">
        <v>1171.1199999999999</v>
      </c>
      <c r="H84">
        <f t="shared" si="5"/>
        <v>2028</v>
      </c>
      <c r="I84">
        <f t="shared" si="6"/>
        <v>14051.799999999996</v>
      </c>
      <c r="J84">
        <f t="shared" si="7"/>
        <v>11977.13</v>
      </c>
      <c r="K84">
        <f t="shared" si="8"/>
        <v>1821.3100000000002</v>
      </c>
      <c r="L84">
        <f t="shared" si="9"/>
        <v>253.36</v>
      </c>
    </row>
    <row r="85" spans="1:12">
      <c r="A85" s="2">
        <v>46858</v>
      </c>
      <c r="B85" t="s">
        <v>4</v>
      </c>
      <c r="C85">
        <v>168068.77</v>
      </c>
      <c r="D85">
        <v>995.81</v>
      </c>
      <c r="E85">
        <v>154.06</v>
      </c>
      <c r="F85">
        <v>21.25</v>
      </c>
      <c r="G85">
        <v>1171.1199999999999</v>
      </c>
      <c r="H85">
        <f t="shared" si="5"/>
        <v>2028</v>
      </c>
      <c r="I85">
        <f t="shared" si="6"/>
        <v>14051.799999999996</v>
      </c>
      <c r="J85">
        <f t="shared" si="7"/>
        <v>11977.13</v>
      </c>
      <c r="K85">
        <f t="shared" si="8"/>
        <v>1821.3100000000002</v>
      </c>
      <c r="L85">
        <f t="shared" si="9"/>
        <v>253.36</v>
      </c>
    </row>
    <row r="86" spans="1:12">
      <c r="A86" s="2">
        <v>46888</v>
      </c>
      <c r="B86" t="s">
        <v>4</v>
      </c>
      <c r="C86">
        <v>167072.95999999999</v>
      </c>
      <c r="D86">
        <v>996.72</v>
      </c>
      <c r="E86">
        <v>153.15</v>
      </c>
      <c r="F86">
        <v>21.25</v>
      </c>
      <c r="G86">
        <v>1171.1199999999999</v>
      </c>
      <c r="H86">
        <f t="shared" si="5"/>
        <v>2028</v>
      </c>
      <c r="I86">
        <f t="shared" si="6"/>
        <v>14051.799999999996</v>
      </c>
      <c r="J86">
        <f t="shared" si="7"/>
        <v>11977.13</v>
      </c>
      <c r="K86">
        <f t="shared" si="8"/>
        <v>1821.3100000000002</v>
      </c>
      <c r="L86">
        <f t="shared" si="9"/>
        <v>253.36</v>
      </c>
    </row>
    <row r="87" spans="1:12">
      <c r="A87" s="2">
        <v>46919</v>
      </c>
      <c r="B87" t="s">
        <v>4</v>
      </c>
      <c r="C87">
        <v>166076.24</v>
      </c>
      <c r="D87">
        <v>997.63</v>
      </c>
      <c r="E87">
        <v>152.24</v>
      </c>
      <c r="F87">
        <v>21.25</v>
      </c>
      <c r="G87">
        <v>1171.1199999999999</v>
      </c>
      <c r="H87">
        <f t="shared" si="5"/>
        <v>2028</v>
      </c>
      <c r="I87">
        <f t="shared" si="6"/>
        <v>14051.799999999996</v>
      </c>
      <c r="J87">
        <f t="shared" si="7"/>
        <v>11977.13</v>
      </c>
      <c r="K87">
        <f t="shared" si="8"/>
        <v>1821.3100000000002</v>
      </c>
      <c r="L87">
        <f t="shared" si="9"/>
        <v>253.36</v>
      </c>
    </row>
    <row r="88" spans="1:12">
      <c r="A88" s="2">
        <v>46949</v>
      </c>
      <c r="B88" t="s">
        <v>4</v>
      </c>
      <c r="C88">
        <v>165078.60999999999</v>
      </c>
      <c r="D88">
        <v>998.55</v>
      </c>
      <c r="E88">
        <v>151.32</v>
      </c>
      <c r="F88">
        <v>21.25</v>
      </c>
      <c r="G88">
        <v>1171.1199999999999</v>
      </c>
      <c r="H88">
        <f t="shared" si="5"/>
        <v>2028</v>
      </c>
      <c r="I88">
        <f t="shared" si="6"/>
        <v>14051.799999999996</v>
      </c>
      <c r="J88">
        <f t="shared" si="7"/>
        <v>11977.13</v>
      </c>
      <c r="K88">
        <f t="shared" si="8"/>
        <v>1821.3100000000002</v>
      </c>
      <c r="L88">
        <f t="shared" si="9"/>
        <v>253.36</v>
      </c>
    </row>
    <row r="89" spans="1:12">
      <c r="A89" s="2">
        <v>46980</v>
      </c>
      <c r="B89" t="s">
        <v>4</v>
      </c>
      <c r="C89">
        <v>164080.06</v>
      </c>
      <c r="D89">
        <v>999.46</v>
      </c>
      <c r="E89">
        <v>150.41</v>
      </c>
      <c r="F89">
        <v>21.25</v>
      </c>
      <c r="G89">
        <v>1171.1199999999999</v>
      </c>
      <c r="H89">
        <f t="shared" si="5"/>
        <v>2028</v>
      </c>
      <c r="I89">
        <f t="shared" si="6"/>
        <v>14051.799999999996</v>
      </c>
      <c r="J89">
        <f t="shared" si="7"/>
        <v>11977.13</v>
      </c>
      <c r="K89">
        <f t="shared" si="8"/>
        <v>1821.3100000000002</v>
      </c>
      <c r="L89">
        <f t="shared" si="9"/>
        <v>253.36</v>
      </c>
    </row>
    <row r="90" spans="1:12">
      <c r="A90" s="2">
        <v>47011</v>
      </c>
      <c r="B90" t="s">
        <v>4</v>
      </c>
      <c r="C90">
        <v>163080.6</v>
      </c>
      <c r="D90">
        <v>1000.38</v>
      </c>
      <c r="E90">
        <v>149.49</v>
      </c>
      <c r="F90">
        <v>21.25</v>
      </c>
      <c r="G90">
        <v>1171.1199999999999</v>
      </c>
      <c r="H90">
        <f t="shared" si="5"/>
        <v>2028</v>
      </c>
      <c r="I90">
        <f t="shared" si="6"/>
        <v>14051.799999999996</v>
      </c>
      <c r="J90">
        <f t="shared" si="7"/>
        <v>11977.13</v>
      </c>
      <c r="K90">
        <f t="shared" si="8"/>
        <v>1821.3100000000002</v>
      </c>
      <c r="L90">
        <f t="shared" si="9"/>
        <v>253.36</v>
      </c>
    </row>
    <row r="91" spans="1:12">
      <c r="A91" s="2">
        <v>47041</v>
      </c>
      <c r="B91" t="s">
        <v>4</v>
      </c>
      <c r="C91">
        <v>162080.22</v>
      </c>
      <c r="D91">
        <v>1001.3</v>
      </c>
      <c r="E91">
        <v>148.57</v>
      </c>
      <c r="F91">
        <v>21.25</v>
      </c>
      <c r="G91">
        <v>1171.1199999999999</v>
      </c>
      <c r="H91">
        <f t="shared" si="5"/>
        <v>2028</v>
      </c>
      <c r="I91">
        <f t="shared" si="6"/>
        <v>14051.799999999996</v>
      </c>
      <c r="J91">
        <f t="shared" si="7"/>
        <v>11977.13</v>
      </c>
      <c r="K91">
        <f t="shared" si="8"/>
        <v>1821.3100000000002</v>
      </c>
      <c r="L91">
        <f t="shared" si="9"/>
        <v>253.36</v>
      </c>
    </row>
    <row r="92" spans="1:12">
      <c r="A92" s="2">
        <v>47072</v>
      </c>
      <c r="B92" t="s">
        <v>4</v>
      </c>
      <c r="C92">
        <v>161078.92000000001</v>
      </c>
      <c r="D92">
        <v>1002.21</v>
      </c>
      <c r="E92">
        <v>147.66</v>
      </c>
      <c r="F92">
        <v>20.43</v>
      </c>
      <c r="G92">
        <v>1170.3</v>
      </c>
      <c r="H92">
        <f t="shared" si="5"/>
        <v>2028</v>
      </c>
      <c r="I92">
        <f t="shared" si="6"/>
        <v>14051.799999999996</v>
      </c>
      <c r="J92">
        <f t="shared" si="7"/>
        <v>11977.13</v>
      </c>
      <c r="K92">
        <f t="shared" si="8"/>
        <v>1821.3100000000002</v>
      </c>
      <c r="L92">
        <f t="shared" si="9"/>
        <v>253.36</v>
      </c>
    </row>
    <row r="93" spans="1:12">
      <c r="A93" s="2">
        <v>47102</v>
      </c>
      <c r="B93" t="s">
        <v>4</v>
      </c>
      <c r="C93">
        <v>160076.71</v>
      </c>
      <c r="D93">
        <v>1003.13</v>
      </c>
      <c r="E93">
        <v>146.74</v>
      </c>
      <c r="F93">
        <v>20.43</v>
      </c>
      <c r="G93">
        <v>1170.3</v>
      </c>
      <c r="H93">
        <f t="shared" si="5"/>
        <v>2028</v>
      </c>
      <c r="I93">
        <f t="shared" si="6"/>
        <v>14051.799999999996</v>
      </c>
      <c r="J93">
        <f t="shared" si="7"/>
        <v>11977.13</v>
      </c>
      <c r="K93">
        <f t="shared" si="8"/>
        <v>1821.3100000000002</v>
      </c>
      <c r="L93">
        <f t="shared" si="9"/>
        <v>253.36</v>
      </c>
    </row>
    <row r="94" spans="1:12">
      <c r="A94" s="2">
        <v>47133</v>
      </c>
      <c r="B94" t="s">
        <v>4</v>
      </c>
      <c r="C94">
        <v>159073.57999999999</v>
      </c>
      <c r="D94">
        <v>1004.05</v>
      </c>
      <c r="E94">
        <v>145.82</v>
      </c>
      <c r="F94">
        <v>20.43</v>
      </c>
      <c r="G94">
        <v>1170.3</v>
      </c>
      <c r="H94">
        <f t="shared" si="5"/>
        <v>2029</v>
      </c>
      <c r="I94">
        <f t="shared" si="6"/>
        <v>14041.939999999997</v>
      </c>
      <c r="J94">
        <f t="shared" si="7"/>
        <v>12109.550000000001</v>
      </c>
      <c r="K94">
        <f t="shared" si="8"/>
        <v>1688.89</v>
      </c>
      <c r="L94">
        <f t="shared" si="9"/>
        <v>243.50000000000003</v>
      </c>
    </row>
    <row r="95" spans="1:12">
      <c r="A95" s="2">
        <v>47164</v>
      </c>
      <c r="B95" t="s">
        <v>4</v>
      </c>
      <c r="C95">
        <v>158069.53</v>
      </c>
      <c r="D95">
        <v>1004.97</v>
      </c>
      <c r="E95">
        <v>144.9</v>
      </c>
      <c r="F95">
        <v>20.43</v>
      </c>
      <c r="G95">
        <v>1170.3</v>
      </c>
      <c r="H95">
        <f t="shared" si="5"/>
        <v>2029</v>
      </c>
      <c r="I95">
        <f t="shared" si="6"/>
        <v>14041.939999999997</v>
      </c>
      <c r="J95">
        <f t="shared" si="7"/>
        <v>12109.550000000001</v>
      </c>
      <c r="K95">
        <f t="shared" si="8"/>
        <v>1688.89</v>
      </c>
      <c r="L95">
        <f t="shared" si="9"/>
        <v>243.50000000000003</v>
      </c>
    </row>
    <row r="96" spans="1:12">
      <c r="A96" s="2">
        <v>47192</v>
      </c>
      <c r="B96" t="s">
        <v>4</v>
      </c>
      <c r="C96">
        <v>157064.56</v>
      </c>
      <c r="D96">
        <v>1005.89</v>
      </c>
      <c r="E96">
        <v>143.97999999999999</v>
      </c>
      <c r="F96">
        <v>20.43</v>
      </c>
      <c r="G96">
        <v>1170.3</v>
      </c>
      <c r="H96">
        <f t="shared" si="5"/>
        <v>2029</v>
      </c>
      <c r="I96">
        <f t="shared" si="6"/>
        <v>14041.939999999997</v>
      </c>
      <c r="J96">
        <f t="shared" si="7"/>
        <v>12109.550000000001</v>
      </c>
      <c r="K96">
        <f t="shared" si="8"/>
        <v>1688.89</v>
      </c>
      <c r="L96">
        <f t="shared" si="9"/>
        <v>243.50000000000003</v>
      </c>
    </row>
    <row r="97" spans="1:12">
      <c r="A97" s="2">
        <v>47223</v>
      </c>
      <c r="B97" t="s">
        <v>4</v>
      </c>
      <c r="C97">
        <v>156058.67000000001</v>
      </c>
      <c r="D97">
        <v>1006.82</v>
      </c>
      <c r="E97">
        <v>143.05000000000001</v>
      </c>
      <c r="F97">
        <v>20.43</v>
      </c>
      <c r="G97">
        <v>1170.3</v>
      </c>
      <c r="H97">
        <f t="shared" si="5"/>
        <v>2029</v>
      </c>
      <c r="I97">
        <f t="shared" si="6"/>
        <v>14041.939999999997</v>
      </c>
      <c r="J97">
        <f t="shared" si="7"/>
        <v>12109.550000000001</v>
      </c>
      <c r="K97">
        <f t="shared" si="8"/>
        <v>1688.89</v>
      </c>
      <c r="L97">
        <f t="shared" si="9"/>
        <v>243.50000000000003</v>
      </c>
    </row>
    <row r="98" spans="1:12">
      <c r="A98" s="2">
        <v>47253</v>
      </c>
      <c r="B98" t="s">
        <v>4</v>
      </c>
      <c r="C98">
        <v>155051.85</v>
      </c>
      <c r="D98">
        <v>1007.74</v>
      </c>
      <c r="E98">
        <v>142.13</v>
      </c>
      <c r="F98">
        <v>20.43</v>
      </c>
      <c r="G98">
        <v>1170.3</v>
      </c>
      <c r="H98">
        <f t="shared" si="5"/>
        <v>2029</v>
      </c>
      <c r="I98">
        <f t="shared" si="6"/>
        <v>14041.939999999997</v>
      </c>
      <c r="J98">
        <f t="shared" si="7"/>
        <v>12109.550000000001</v>
      </c>
      <c r="K98">
        <f t="shared" si="8"/>
        <v>1688.89</v>
      </c>
      <c r="L98">
        <f t="shared" si="9"/>
        <v>243.50000000000003</v>
      </c>
    </row>
    <row r="99" spans="1:12">
      <c r="A99" s="2">
        <v>47284</v>
      </c>
      <c r="B99" t="s">
        <v>4</v>
      </c>
      <c r="C99">
        <v>154044.10999999999</v>
      </c>
      <c r="D99">
        <v>1008.66</v>
      </c>
      <c r="E99">
        <v>141.21</v>
      </c>
      <c r="F99">
        <v>20.43</v>
      </c>
      <c r="G99">
        <v>1170.3</v>
      </c>
      <c r="H99">
        <f t="shared" si="5"/>
        <v>2029</v>
      </c>
      <c r="I99">
        <f t="shared" si="6"/>
        <v>14041.939999999997</v>
      </c>
      <c r="J99">
        <f t="shared" si="7"/>
        <v>12109.550000000001</v>
      </c>
      <c r="K99">
        <f t="shared" si="8"/>
        <v>1688.89</v>
      </c>
      <c r="L99">
        <f t="shared" si="9"/>
        <v>243.50000000000003</v>
      </c>
    </row>
    <row r="100" spans="1:12">
      <c r="A100" s="2">
        <v>47314</v>
      </c>
      <c r="B100" t="s">
        <v>4</v>
      </c>
      <c r="C100">
        <v>153035.45000000001</v>
      </c>
      <c r="D100">
        <v>1009.59</v>
      </c>
      <c r="E100">
        <v>140.28</v>
      </c>
      <c r="F100">
        <v>20.43</v>
      </c>
      <c r="G100">
        <v>1170.3</v>
      </c>
      <c r="H100">
        <f t="shared" si="5"/>
        <v>2029</v>
      </c>
      <c r="I100">
        <f t="shared" si="6"/>
        <v>14041.939999999997</v>
      </c>
      <c r="J100">
        <f t="shared" si="7"/>
        <v>12109.550000000001</v>
      </c>
      <c r="K100">
        <f t="shared" si="8"/>
        <v>1688.89</v>
      </c>
      <c r="L100">
        <f t="shared" si="9"/>
        <v>243.50000000000003</v>
      </c>
    </row>
    <row r="101" spans="1:12">
      <c r="A101" s="2">
        <v>47345</v>
      </c>
      <c r="B101" t="s">
        <v>4</v>
      </c>
      <c r="C101">
        <v>152025.85999999999</v>
      </c>
      <c r="D101">
        <v>1010.51</v>
      </c>
      <c r="E101">
        <v>139.36000000000001</v>
      </c>
      <c r="F101">
        <v>20.43</v>
      </c>
      <c r="G101">
        <v>1170.3</v>
      </c>
      <c r="H101">
        <f t="shared" si="5"/>
        <v>2029</v>
      </c>
      <c r="I101">
        <f t="shared" si="6"/>
        <v>14041.939999999997</v>
      </c>
      <c r="J101">
        <f t="shared" si="7"/>
        <v>12109.550000000001</v>
      </c>
      <c r="K101">
        <f t="shared" si="8"/>
        <v>1688.89</v>
      </c>
      <c r="L101">
        <f t="shared" si="9"/>
        <v>243.50000000000003</v>
      </c>
    </row>
    <row r="102" spans="1:12">
      <c r="A102" s="2">
        <v>47376</v>
      </c>
      <c r="B102" t="s">
        <v>4</v>
      </c>
      <c r="C102">
        <v>151015.35</v>
      </c>
      <c r="D102">
        <v>1011.44</v>
      </c>
      <c r="E102">
        <v>138.43</v>
      </c>
      <c r="F102">
        <v>20.43</v>
      </c>
      <c r="G102">
        <v>1170.3</v>
      </c>
      <c r="H102">
        <f t="shared" si="5"/>
        <v>2029</v>
      </c>
      <c r="I102">
        <f t="shared" si="6"/>
        <v>14041.939999999997</v>
      </c>
      <c r="J102">
        <f t="shared" si="7"/>
        <v>12109.550000000001</v>
      </c>
      <c r="K102">
        <f t="shared" si="8"/>
        <v>1688.89</v>
      </c>
      <c r="L102">
        <f t="shared" si="9"/>
        <v>243.50000000000003</v>
      </c>
    </row>
    <row r="103" spans="1:12">
      <c r="A103" s="2">
        <v>47406</v>
      </c>
      <c r="B103" t="s">
        <v>4</v>
      </c>
      <c r="C103">
        <v>150003.91</v>
      </c>
      <c r="D103">
        <v>1012.37</v>
      </c>
      <c r="E103">
        <v>137.5</v>
      </c>
      <c r="F103">
        <v>20.43</v>
      </c>
      <c r="G103">
        <v>1170.3</v>
      </c>
      <c r="H103">
        <f t="shared" si="5"/>
        <v>2029</v>
      </c>
      <c r="I103">
        <f t="shared" si="6"/>
        <v>14041.939999999997</v>
      </c>
      <c r="J103">
        <f t="shared" si="7"/>
        <v>12109.550000000001</v>
      </c>
      <c r="K103">
        <f t="shared" si="8"/>
        <v>1688.89</v>
      </c>
      <c r="L103">
        <f t="shared" si="9"/>
        <v>243.50000000000003</v>
      </c>
    </row>
    <row r="104" spans="1:12">
      <c r="A104" s="2">
        <v>47437</v>
      </c>
      <c r="B104" t="s">
        <v>4</v>
      </c>
      <c r="C104">
        <v>148991.54</v>
      </c>
      <c r="D104">
        <v>1013.29</v>
      </c>
      <c r="E104">
        <v>136.58000000000001</v>
      </c>
      <c r="F104">
        <v>19.600000000000001</v>
      </c>
      <c r="G104">
        <v>1169.47</v>
      </c>
      <c r="H104">
        <f t="shared" si="5"/>
        <v>2029</v>
      </c>
      <c r="I104">
        <f t="shared" si="6"/>
        <v>14041.939999999997</v>
      </c>
      <c r="J104">
        <f t="shared" si="7"/>
        <v>12109.550000000001</v>
      </c>
      <c r="K104">
        <f t="shared" si="8"/>
        <v>1688.89</v>
      </c>
      <c r="L104">
        <f t="shared" si="9"/>
        <v>243.50000000000003</v>
      </c>
    </row>
    <row r="105" spans="1:12">
      <c r="A105" s="2">
        <v>47467</v>
      </c>
      <c r="B105" t="s">
        <v>4</v>
      </c>
      <c r="C105">
        <v>147978.25</v>
      </c>
      <c r="D105">
        <v>1014.22</v>
      </c>
      <c r="E105">
        <v>135.65</v>
      </c>
      <c r="F105">
        <v>19.600000000000001</v>
      </c>
      <c r="G105">
        <v>1169.47</v>
      </c>
      <c r="H105">
        <f t="shared" si="5"/>
        <v>2029</v>
      </c>
      <c r="I105">
        <f t="shared" si="6"/>
        <v>14041.939999999997</v>
      </c>
      <c r="J105">
        <f t="shared" si="7"/>
        <v>12109.550000000001</v>
      </c>
      <c r="K105">
        <f t="shared" si="8"/>
        <v>1688.89</v>
      </c>
      <c r="L105">
        <f t="shared" si="9"/>
        <v>243.50000000000003</v>
      </c>
    </row>
    <row r="106" spans="1:12">
      <c r="A106" s="2">
        <v>47498</v>
      </c>
      <c r="B106" t="s">
        <v>4</v>
      </c>
      <c r="C106">
        <v>146964.03</v>
      </c>
      <c r="D106">
        <v>1015.15</v>
      </c>
      <c r="E106">
        <v>134.72</v>
      </c>
      <c r="F106">
        <v>19.600000000000001</v>
      </c>
      <c r="G106">
        <v>1169.47</v>
      </c>
      <c r="H106">
        <f t="shared" si="5"/>
        <v>2030</v>
      </c>
      <c r="I106">
        <f t="shared" si="6"/>
        <v>14031.9</v>
      </c>
      <c r="J106">
        <f t="shared" si="7"/>
        <v>12243.43</v>
      </c>
      <c r="K106">
        <f t="shared" si="8"/>
        <v>1555.01</v>
      </c>
      <c r="L106">
        <f t="shared" si="9"/>
        <v>233.45999999999995</v>
      </c>
    </row>
    <row r="107" spans="1:12">
      <c r="A107" s="2">
        <v>47529</v>
      </c>
      <c r="B107" t="s">
        <v>4</v>
      </c>
      <c r="C107">
        <v>145948.88</v>
      </c>
      <c r="D107">
        <v>1016.08</v>
      </c>
      <c r="E107">
        <v>133.79</v>
      </c>
      <c r="F107">
        <v>19.600000000000001</v>
      </c>
      <c r="G107">
        <v>1169.47</v>
      </c>
      <c r="H107">
        <f t="shared" si="5"/>
        <v>2030</v>
      </c>
      <c r="I107">
        <f t="shared" si="6"/>
        <v>14031.9</v>
      </c>
      <c r="J107">
        <f t="shared" si="7"/>
        <v>12243.43</v>
      </c>
      <c r="K107">
        <f t="shared" si="8"/>
        <v>1555.01</v>
      </c>
      <c r="L107">
        <f t="shared" si="9"/>
        <v>233.45999999999995</v>
      </c>
    </row>
    <row r="108" spans="1:12">
      <c r="A108" s="2">
        <v>47557</v>
      </c>
      <c r="B108" t="s">
        <v>4</v>
      </c>
      <c r="C108">
        <v>144932.79999999999</v>
      </c>
      <c r="D108">
        <v>1017.01</v>
      </c>
      <c r="E108">
        <v>132.86000000000001</v>
      </c>
      <c r="F108">
        <v>19.600000000000001</v>
      </c>
      <c r="G108">
        <v>1169.47</v>
      </c>
      <c r="H108">
        <f t="shared" si="5"/>
        <v>2030</v>
      </c>
      <c r="I108">
        <f t="shared" si="6"/>
        <v>14031.9</v>
      </c>
      <c r="J108">
        <f t="shared" si="7"/>
        <v>12243.43</v>
      </c>
      <c r="K108">
        <f t="shared" si="8"/>
        <v>1555.01</v>
      </c>
      <c r="L108">
        <f t="shared" si="9"/>
        <v>233.45999999999995</v>
      </c>
    </row>
    <row r="109" spans="1:12">
      <c r="A109" s="2">
        <v>47588</v>
      </c>
      <c r="B109" t="s">
        <v>4</v>
      </c>
      <c r="C109">
        <v>143915.79</v>
      </c>
      <c r="D109">
        <v>1017.95</v>
      </c>
      <c r="E109">
        <v>131.91999999999999</v>
      </c>
      <c r="F109">
        <v>19.600000000000001</v>
      </c>
      <c r="G109">
        <v>1169.47</v>
      </c>
      <c r="H109">
        <f t="shared" si="5"/>
        <v>2030</v>
      </c>
      <c r="I109">
        <f t="shared" si="6"/>
        <v>14031.9</v>
      </c>
      <c r="J109">
        <f t="shared" si="7"/>
        <v>12243.43</v>
      </c>
      <c r="K109">
        <f t="shared" si="8"/>
        <v>1555.01</v>
      </c>
      <c r="L109">
        <f t="shared" si="9"/>
        <v>233.45999999999995</v>
      </c>
    </row>
    <row r="110" spans="1:12">
      <c r="A110" s="2">
        <v>47618</v>
      </c>
      <c r="B110" t="s">
        <v>4</v>
      </c>
      <c r="C110">
        <v>142897.84</v>
      </c>
      <c r="D110">
        <v>1018.88</v>
      </c>
      <c r="E110">
        <v>130.99</v>
      </c>
      <c r="F110">
        <v>19.600000000000001</v>
      </c>
      <c r="G110">
        <v>1169.47</v>
      </c>
      <c r="H110">
        <f t="shared" si="5"/>
        <v>2030</v>
      </c>
      <c r="I110">
        <f t="shared" si="6"/>
        <v>14031.9</v>
      </c>
      <c r="J110">
        <f t="shared" si="7"/>
        <v>12243.43</v>
      </c>
      <c r="K110">
        <f t="shared" si="8"/>
        <v>1555.01</v>
      </c>
      <c r="L110">
        <f t="shared" si="9"/>
        <v>233.45999999999995</v>
      </c>
    </row>
    <row r="111" spans="1:12">
      <c r="A111" s="2">
        <v>47649</v>
      </c>
      <c r="B111" t="s">
        <v>4</v>
      </c>
      <c r="C111">
        <v>141878.96</v>
      </c>
      <c r="D111">
        <v>1019.81</v>
      </c>
      <c r="E111">
        <v>130.06</v>
      </c>
      <c r="F111">
        <v>19.600000000000001</v>
      </c>
      <c r="G111">
        <v>1169.47</v>
      </c>
      <c r="H111">
        <f t="shared" si="5"/>
        <v>2030</v>
      </c>
      <c r="I111">
        <f t="shared" si="6"/>
        <v>14031.9</v>
      </c>
      <c r="J111">
        <f t="shared" si="7"/>
        <v>12243.43</v>
      </c>
      <c r="K111">
        <f t="shared" si="8"/>
        <v>1555.01</v>
      </c>
      <c r="L111">
        <f t="shared" si="9"/>
        <v>233.45999999999995</v>
      </c>
    </row>
    <row r="112" spans="1:12">
      <c r="A112" s="2">
        <v>47679</v>
      </c>
      <c r="B112" t="s">
        <v>4</v>
      </c>
      <c r="C112">
        <v>140859.15</v>
      </c>
      <c r="D112">
        <v>1020.75</v>
      </c>
      <c r="E112">
        <v>129.12</v>
      </c>
      <c r="F112">
        <v>19.600000000000001</v>
      </c>
      <c r="G112">
        <v>1169.47</v>
      </c>
      <c r="H112">
        <f t="shared" si="5"/>
        <v>2030</v>
      </c>
      <c r="I112">
        <f t="shared" si="6"/>
        <v>14031.9</v>
      </c>
      <c r="J112">
        <f t="shared" si="7"/>
        <v>12243.43</v>
      </c>
      <c r="K112">
        <f t="shared" si="8"/>
        <v>1555.01</v>
      </c>
      <c r="L112">
        <f t="shared" si="9"/>
        <v>233.45999999999995</v>
      </c>
    </row>
    <row r="113" spans="1:12">
      <c r="A113" s="2">
        <v>47710</v>
      </c>
      <c r="B113" t="s">
        <v>4</v>
      </c>
      <c r="C113">
        <v>139838.39999999999</v>
      </c>
      <c r="D113">
        <v>1021.68</v>
      </c>
      <c r="E113">
        <v>128.19</v>
      </c>
      <c r="F113">
        <v>19.600000000000001</v>
      </c>
      <c r="G113">
        <v>1169.47</v>
      </c>
      <c r="H113">
        <f t="shared" si="5"/>
        <v>2030</v>
      </c>
      <c r="I113">
        <f t="shared" si="6"/>
        <v>14031.9</v>
      </c>
      <c r="J113">
        <f t="shared" si="7"/>
        <v>12243.43</v>
      </c>
      <c r="K113">
        <f t="shared" si="8"/>
        <v>1555.01</v>
      </c>
      <c r="L113">
        <f t="shared" si="9"/>
        <v>233.45999999999995</v>
      </c>
    </row>
    <row r="114" spans="1:12">
      <c r="A114" s="2">
        <v>47741</v>
      </c>
      <c r="B114" t="s">
        <v>4</v>
      </c>
      <c r="C114">
        <v>138816.72</v>
      </c>
      <c r="D114">
        <v>1022.62</v>
      </c>
      <c r="E114">
        <v>127.25</v>
      </c>
      <c r="F114">
        <v>19.600000000000001</v>
      </c>
      <c r="G114">
        <v>1169.47</v>
      </c>
      <c r="H114">
        <f t="shared" si="5"/>
        <v>2030</v>
      </c>
      <c r="I114">
        <f t="shared" si="6"/>
        <v>14031.9</v>
      </c>
      <c r="J114">
        <f t="shared" si="7"/>
        <v>12243.43</v>
      </c>
      <c r="K114">
        <f t="shared" si="8"/>
        <v>1555.01</v>
      </c>
      <c r="L114">
        <f t="shared" si="9"/>
        <v>233.45999999999995</v>
      </c>
    </row>
    <row r="115" spans="1:12">
      <c r="A115" s="2">
        <v>47771</v>
      </c>
      <c r="B115" t="s">
        <v>4</v>
      </c>
      <c r="C115">
        <v>137794.1</v>
      </c>
      <c r="D115">
        <v>1023.56</v>
      </c>
      <c r="E115">
        <v>126.31</v>
      </c>
      <c r="F115">
        <v>19.600000000000001</v>
      </c>
      <c r="G115">
        <v>1169.47</v>
      </c>
      <c r="H115">
        <f t="shared" si="5"/>
        <v>2030</v>
      </c>
      <c r="I115">
        <f t="shared" si="6"/>
        <v>14031.9</v>
      </c>
      <c r="J115">
        <f t="shared" si="7"/>
        <v>12243.43</v>
      </c>
      <c r="K115">
        <f t="shared" si="8"/>
        <v>1555.01</v>
      </c>
      <c r="L115">
        <f t="shared" si="9"/>
        <v>233.45999999999995</v>
      </c>
    </row>
    <row r="116" spans="1:12">
      <c r="A116" s="2">
        <v>47802</v>
      </c>
      <c r="B116" t="s">
        <v>4</v>
      </c>
      <c r="C116">
        <v>136770.54</v>
      </c>
      <c r="D116">
        <v>1024.5</v>
      </c>
      <c r="E116">
        <v>125.37</v>
      </c>
      <c r="F116">
        <v>18.73</v>
      </c>
      <c r="G116">
        <v>1168.5999999999999</v>
      </c>
      <c r="H116">
        <f t="shared" si="5"/>
        <v>2030</v>
      </c>
      <c r="I116">
        <f t="shared" si="6"/>
        <v>14031.9</v>
      </c>
      <c r="J116">
        <f t="shared" si="7"/>
        <v>12243.43</v>
      </c>
      <c r="K116">
        <f t="shared" si="8"/>
        <v>1555.01</v>
      </c>
      <c r="L116">
        <f t="shared" si="9"/>
        <v>233.45999999999995</v>
      </c>
    </row>
    <row r="117" spans="1:12">
      <c r="A117" s="2">
        <v>47832</v>
      </c>
      <c r="B117" t="s">
        <v>4</v>
      </c>
      <c r="C117">
        <v>135746.04</v>
      </c>
      <c r="D117">
        <v>1025.44</v>
      </c>
      <c r="E117">
        <v>124.43</v>
      </c>
      <c r="F117">
        <v>18.73</v>
      </c>
      <c r="G117">
        <v>1168.5999999999999</v>
      </c>
      <c r="H117">
        <f t="shared" si="5"/>
        <v>2030</v>
      </c>
      <c r="I117">
        <f t="shared" si="6"/>
        <v>14031.9</v>
      </c>
      <c r="J117">
        <f t="shared" si="7"/>
        <v>12243.43</v>
      </c>
      <c r="K117">
        <f t="shared" si="8"/>
        <v>1555.01</v>
      </c>
      <c r="L117">
        <f t="shared" si="9"/>
        <v>233.45999999999995</v>
      </c>
    </row>
    <row r="118" spans="1:12">
      <c r="A118" s="2">
        <v>47863</v>
      </c>
      <c r="B118" t="s">
        <v>4</v>
      </c>
      <c r="C118">
        <v>134720.6</v>
      </c>
      <c r="D118">
        <v>1026.3800000000001</v>
      </c>
      <c r="E118">
        <v>123.49</v>
      </c>
      <c r="F118">
        <v>18.73</v>
      </c>
      <c r="G118">
        <v>1168.5999999999999</v>
      </c>
      <c r="H118">
        <f t="shared" si="5"/>
        <v>2031</v>
      </c>
      <c r="I118">
        <f t="shared" si="6"/>
        <v>14021.320000000002</v>
      </c>
      <c r="J118">
        <f t="shared" si="7"/>
        <v>12378.79</v>
      </c>
      <c r="K118">
        <f t="shared" si="8"/>
        <v>1419.6499999999999</v>
      </c>
      <c r="L118">
        <f t="shared" si="9"/>
        <v>222.87999999999997</v>
      </c>
    </row>
    <row r="119" spans="1:12">
      <c r="A119" s="2">
        <v>47894</v>
      </c>
      <c r="B119" t="s">
        <v>4</v>
      </c>
      <c r="C119">
        <v>133694.22</v>
      </c>
      <c r="D119">
        <v>1027.32</v>
      </c>
      <c r="E119">
        <v>122.55</v>
      </c>
      <c r="F119">
        <v>18.73</v>
      </c>
      <c r="G119">
        <v>1168.5999999999999</v>
      </c>
      <c r="H119">
        <f t="shared" si="5"/>
        <v>2031</v>
      </c>
      <c r="I119">
        <f t="shared" si="6"/>
        <v>14021.320000000002</v>
      </c>
      <c r="J119">
        <f t="shared" si="7"/>
        <v>12378.79</v>
      </c>
      <c r="K119">
        <f t="shared" si="8"/>
        <v>1419.6499999999999</v>
      </c>
      <c r="L119">
        <f t="shared" si="9"/>
        <v>222.87999999999997</v>
      </c>
    </row>
    <row r="120" spans="1:12">
      <c r="A120" s="2">
        <v>47922</v>
      </c>
      <c r="B120" t="s">
        <v>4</v>
      </c>
      <c r="C120">
        <v>132666.9</v>
      </c>
      <c r="D120">
        <v>1028.26</v>
      </c>
      <c r="E120">
        <v>121.61</v>
      </c>
      <c r="F120">
        <v>18.73</v>
      </c>
      <c r="G120">
        <v>1168.5999999999999</v>
      </c>
      <c r="H120">
        <f t="shared" si="5"/>
        <v>2031</v>
      </c>
      <c r="I120">
        <f t="shared" si="6"/>
        <v>14021.320000000002</v>
      </c>
      <c r="J120">
        <f t="shared" si="7"/>
        <v>12378.79</v>
      </c>
      <c r="K120">
        <f t="shared" si="8"/>
        <v>1419.6499999999999</v>
      </c>
      <c r="L120">
        <f t="shared" si="9"/>
        <v>222.87999999999997</v>
      </c>
    </row>
    <row r="121" spans="1:12">
      <c r="A121" s="2">
        <v>47953</v>
      </c>
      <c r="B121" t="s">
        <v>4</v>
      </c>
      <c r="C121">
        <v>131638.64000000001</v>
      </c>
      <c r="D121">
        <v>1029.2</v>
      </c>
      <c r="E121">
        <v>120.67</v>
      </c>
      <c r="F121">
        <v>18.73</v>
      </c>
      <c r="G121">
        <v>1168.5999999999999</v>
      </c>
      <c r="H121">
        <f t="shared" si="5"/>
        <v>2031</v>
      </c>
      <c r="I121">
        <f t="shared" si="6"/>
        <v>14021.320000000002</v>
      </c>
      <c r="J121">
        <f t="shared" si="7"/>
        <v>12378.79</v>
      </c>
      <c r="K121">
        <f t="shared" si="8"/>
        <v>1419.6499999999999</v>
      </c>
      <c r="L121">
        <f t="shared" si="9"/>
        <v>222.87999999999997</v>
      </c>
    </row>
    <row r="122" spans="1:12">
      <c r="A122" s="2">
        <v>47983</v>
      </c>
      <c r="B122" t="s">
        <v>4</v>
      </c>
      <c r="C122">
        <v>130609.44</v>
      </c>
      <c r="D122">
        <v>1030.1400000000001</v>
      </c>
      <c r="E122">
        <v>119.73</v>
      </c>
      <c r="F122">
        <v>18.73</v>
      </c>
      <c r="G122">
        <v>1168.5999999999999</v>
      </c>
      <c r="H122">
        <f t="shared" si="5"/>
        <v>2031</v>
      </c>
      <c r="I122">
        <f t="shared" si="6"/>
        <v>14021.320000000002</v>
      </c>
      <c r="J122">
        <f t="shared" si="7"/>
        <v>12378.79</v>
      </c>
      <c r="K122">
        <f t="shared" si="8"/>
        <v>1419.6499999999999</v>
      </c>
      <c r="L122">
        <f t="shared" si="9"/>
        <v>222.87999999999997</v>
      </c>
    </row>
    <row r="123" spans="1:12">
      <c r="A123" s="2">
        <v>48014</v>
      </c>
      <c r="B123" t="s">
        <v>4</v>
      </c>
      <c r="C123">
        <v>129579.3</v>
      </c>
      <c r="D123">
        <v>1031.0899999999999</v>
      </c>
      <c r="E123">
        <v>118.78</v>
      </c>
      <c r="F123">
        <v>18.73</v>
      </c>
      <c r="G123">
        <v>1168.5999999999999</v>
      </c>
      <c r="H123">
        <f t="shared" si="5"/>
        <v>2031</v>
      </c>
      <c r="I123">
        <f t="shared" si="6"/>
        <v>14021.320000000002</v>
      </c>
      <c r="J123">
        <f t="shared" si="7"/>
        <v>12378.79</v>
      </c>
      <c r="K123">
        <f t="shared" si="8"/>
        <v>1419.6499999999999</v>
      </c>
      <c r="L123">
        <f t="shared" si="9"/>
        <v>222.87999999999997</v>
      </c>
    </row>
    <row r="124" spans="1:12">
      <c r="A124" s="2">
        <v>48044</v>
      </c>
      <c r="B124" t="s">
        <v>4</v>
      </c>
      <c r="C124">
        <v>128548.21</v>
      </c>
      <c r="D124">
        <v>1032.03</v>
      </c>
      <c r="E124">
        <v>117.84</v>
      </c>
      <c r="F124">
        <v>18.73</v>
      </c>
      <c r="G124">
        <v>1168.5999999999999</v>
      </c>
      <c r="H124">
        <f t="shared" si="5"/>
        <v>2031</v>
      </c>
      <c r="I124">
        <f t="shared" si="6"/>
        <v>14021.320000000002</v>
      </c>
      <c r="J124">
        <f t="shared" si="7"/>
        <v>12378.79</v>
      </c>
      <c r="K124">
        <f t="shared" si="8"/>
        <v>1419.6499999999999</v>
      </c>
      <c r="L124">
        <f t="shared" si="9"/>
        <v>222.87999999999997</v>
      </c>
    </row>
    <row r="125" spans="1:12">
      <c r="A125" s="2">
        <v>48075</v>
      </c>
      <c r="B125" t="s">
        <v>4</v>
      </c>
      <c r="C125">
        <v>127516.18</v>
      </c>
      <c r="D125">
        <v>1032.98</v>
      </c>
      <c r="E125">
        <v>116.89</v>
      </c>
      <c r="F125">
        <v>18.73</v>
      </c>
      <c r="G125">
        <v>1168.5999999999999</v>
      </c>
      <c r="H125">
        <f t="shared" si="5"/>
        <v>2031</v>
      </c>
      <c r="I125">
        <f t="shared" si="6"/>
        <v>14021.320000000002</v>
      </c>
      <c r="J125">
        <f t="shared" si="7"/>
        <v>12378.79</v>
      </c>
      <c r="K125">
        <f t="shared" si="8"/>
        <v>1419.6499999999999</v>
      </c>
      <c r="L125">
        <f t="shared" si="9"/>
        <v>222.87999999999997</v>
      </c>
    </row>
    <row r="126" spans="1:12">
      <c r="A126" s="2">
        <v>48106</v>
      </c>
      <c r="B126" t="s">
        <v>4</v>
      </c>
      <c r="C126">
        <v>126483.2</v>
      </c>
      <c r="D126">
        <v>1033.93</v>
      </c>
      <c r="E126">
        <v>115.94</v>
      </c>
      <c r="F126">
        <v>18.73</v>
      </c>
      <c r="G126">
        <v>1168.5999999999999</v>
      </c>
      <c r="H126">
        <f t="shared" si="5"/>
        <v>2031</v>
      </c>
      <c r="I126">
        <f t="shared" si="6"/>
        <v>14021.320000000002</v>
      </c>
      <c r="J126">
        <f t="shared" si="7"/>
        <v>12378.79</v>
      </c>
      <c r="K126">
        <f t="shared" si="8"/>
        <v>1419.6499999999999</v>
      </c>
      <c r="L126">
        <f t="shared" si="9"/>
        <v>222.87999999999997</v>
      </c>
    </row>
    <row r="127" spans="1:12">
      <c r="A127" s="2">
        <v>48136</v>
      </c>
      <c r="B127" t="s">
        <v>4</v>
      </c>
      <c r="C127">
        <v>125449.27</v>
      </c>
      <c r="D127">
        <v>1034.8699999999999</v>
      </c>
      <c r="E127">
        <v>115</v>
      </c>
      <c r="F127">
        <v>18.73</v>
      </c>
      <c r="G127">
        <v>1168.5999999999999</v>
      </c>
      <c r="H127">
        <f t="shared" si="5"/>
        <v>2031</v>
      </c>
      <c r="I127">
        <f t="shared" si="6"/>
        <v>14021.320000000002</v>
      </c>
      <c r="J127">
        <f t="shared" si="7"/>
        <v>12378.79</v>
      </c>
      <c r="K127">
        <f t="shared" si="8"/>
        <v>1419.6499999999999</v>
      </c>
      <c r="L127">
        <f t="shared" si="9"/>
        <v>222.87999999999997</v>
      </c>
    </row>
    <row r="128" spans="1:12">
      <c r="A128" s="2">
        <v>48167</v>
      </c>
      <c r="B128" t="s">
        <v>4</v>
      </c>
      <c r="C128">
        <v>124414.39999999999</v>
      </c>
      <c r="D128">
        <v>1035.82</v>
      </c>
      <c r="E128">
        <v>114.05</v>
      </c>
      <c r="F128">
        <v>17.79</v>
      </c>
      <c r="G128">
        <v>1167.6600000000001</v>
      </c>
      <c r="H128">
        <f t="shared" si="5"/>
        <v>2031</v>
      </c>
      <c r="I128">
        <f t="shared" si="6"/>
        <v>14021.320000000002</v>
      </c>
      <c r="J128">
        <f t="shared" si="7"/>
        <v>12378.79</v>
      </c>
      <c r="K128">
        <f t="shared" si="8"/>
        <v>1419.6499999999999</v>
      </c>
      <c r="L128">
        <f t="shared" si="9"/>
        <v>222.87999999999997</v>
      </c>
    </row>
    <row r="129" spans="1:12">
      <c r="A129" s="2">
        <v>48197</v>
      </c>
      <c r="B129" t="s">
        <v>4</v>
      </c>
      <c r="C129">
        <v>123378.58</v>
      </c>
      <c r="D129">
        <v>1036.77</v>
      </c>
      <c r="E129">
        <v>113.1</v>
      </c>
      <c r="F129">
        <v>17.79</v>
      </c>
      <c r="G129">
        <v>1167.6600000000001</v>
      </c>
      <c r="H129">
        <f t="shared" si="5"/>
        <v>2031</v>
      </c>
      <c r="I129">
        <f t="shared" si="6"/>
        <v>14021.320000000002</v>
      </c>
      <c r="J129">
        <f t="shared" si="7"/>
        <v>12378.79</v>
      </c>
      <c r="K129">
        <f t="shared" si="8"/>
        <v>1419.6499999999999</v>
      </c>
      <c r="L129">
        <f t="shared" si="9"/>
        <v>222.87999999999997</v>
      </c>
    </row>
    <row r="130" spans="1:12">
      <c r="A130" s="2">
        <v>48228</v>
      </c>
      <c r="B130" t="s">
        <v>4</v>
      </c>
      <c r="C130">
        <v>122341.81</v>
      </c>
      <c r="D130">
        <v>1037.72</v>
      </c>
      <c r="E130">
        <v>112.15</v>
      </c>
      <c r="F130">
        <v>17.79</v>
      </c>
      <c r="G130">
        <v>1167.6600000000001</v>
      </c>
      <c r="H130">
        <f t="shared" si="5"/>
        <v>2032</v>
      </c>
      <c r="I130">
        <f t="shared" si="6"/>
        <v>14009.820000000002</v>
      </c>
      <c r="J130">
        <f t="shared" si="7"/>
        <v>12515.66</v>
      </c>
      <c r="K130">
        <f t="shared" si="8"/>
        <v>1282.7799999999997</v>
      </c>
      <c r="L130">
        <f t="shared" si="9"/>
        <v>211.37999999999997</v>
      </c>
    </row>
    <row r="131" spans="1:12">
      <c r="A131" s="2">
        <v>48259</v>
      </c>
      <c r="B131" t="s">
        <v>4</v>
      </c>
      <c r="C131">
        <v>121304.09</v>
      </c>
      <c r="D131">
        <v>1038.67</v>
      </c>
      <c r="E131">
        <v>111.2</v>
      </c>
      <c r="F131">
        <v>17.79</v>
      </c>
      <c r="G131">
        <v>1167.6600000000001</v>
      </c>
      <c r="H131">
        <f t="shared" si="5"/>
        <v>2032</v>
      </c>
      <c r="I131">
        <f t="shared" si="6"/>
        <v>14009.820000000002</v>
      </c>
      <c r="J131">
        <f t="shared" si="7"/>
        <v>12515.66</v>
      </c>
      <c r="K131">
        <f t="shared" si="8"/>
        <v>1282.7799999999997</v>
      </c>
      <c r="L131">
        <f t="shared" si="9"/>
        <v>211.37999999999997</v>
      </c>
    </row>
    <row r="132" spans="1:12">
      <c r="A132" s="2">
        <v>48288</v>
      </c>
      <c r="B132" t="s">
        <v>4</v>
      </c>
      <c r="C132">
        <v>120265.42</v>
      </c>
      <c r="D132">
        <v>1039.6300000000001</v>
      </c>
      <c r="E132">
        <v>110.24</v>
      </c>
      <c r="F132">
        <v>17.79</v>
      </c>
      <c r="G132">
        <v>1167.6600000000001</v>
      </c>
      <c r="H132">
        <f t="shared" si="5"/>
        <v>2032</v>
      </c>
      <c r="I132">
        <f t="shared" si="6"/>
        <v>14009.820000000002</v>
      </c>
      <c r="J132">
        <f t="shared" si="7"/>
        <v>12515.66</v>
      </c>
      <c r="K132">
        <f t="shared" si="8"/>
        <v>1282.7799999999997</v>
      </c>
      <c r="L132">
        <f t="shared" si="9"/>
        <v>211.37999999999997</v>
      </c>
    </row>
    <row r="133" spans="1:12">
      <c r="A133" s="2">
        <v>48319</v>
      </c>
      <c r="B133" t="s">
        <v>4</v>
      </c>
      <c r="C133">
        <v>119225.79</v>
      </c>
      <c r="D133">
        <v>1040.58</v>
      </c>
      <c r="E133">
        <v>109.29</v>
      </c>
      <c r="F133">
        <v>17.79</v>
      </c>
      <c r="G133">
        <v>1167.6600000000001</v>
      </c>
      <c r="H133">
        <f t="shared" si="5"/>
        <v>2032</v>
      </c>
      <c r="I133">
        <f t="shared" si="6"/>
        <v>14009.820000000002</v>
      </c>
      <c r="J133">
        <f t="shared" si="7"/>
        <v>12515.66</v>
      </c>
      <c r="K133">
        <f t="shared" si="8"/>
        <v>1282.7799999999997</v>
      </c>
      <c r="L133">
        <f t="shared" si="9"/>
        <v>211.37999999999997</v>
      </c>
    </row>
    <row r="134" spans="1:12">
      <c r="A134" s="2">
        <v>48349</v>
      </c>
      <c r="B134" t="s">
        <v>4</v>
      </c>
      <c r="C134">
        <v>118185.21</v>
      </c>
      <c r="D134">
        <v>1041.53</v>
      </c>
      <c r="E134">
        <v>108.34</v>
      </c>
      <c r="F134">
        <v>17.79</v>
      </c>
      <c r="G134">
        <v>1167.6600000000001</v>
      </c>
      <c r="H134">
        <f t="shared" si="5"/>
        <v>2032</v>
      </c>
      <c r="I134">
        <f t="shared" si="6"/>
        <v>14009.820000000002</v>
      </c>
      <c r="J134">
        <f t="shared" si="7"/>
        <v>12515.66</v>
      </c>
      <c r="K134">
        <f t="shared" si="8"/>
        <v>1282.7799999999997</v>
      </c>
      <c r="L134">
        <f t="shared" si="9"/>
        <v>211.37999999999997</v>
      </c>
    </row>
    <row r="135" spans="1:12">
      <c r="A135" s="2">
        <v>48380</v>
      </c>
      <c r="B135" t="s">
        <v>4</v>
      </c>
      <c r="C135">
        <v>117143.67999999999</v>
      </c>
      <c r="D135">
        <v>1042.49</v>
      </c>
      <c r="E135">
        <v>107.38</v>
      </c>
      <c r="F135">
        <v>17.79</v>
      </c>
      <c r="G135">
        <v>1167.6600000000001</v>
      </c>
      <c r="H135">
        <f t="shared" si="5"/>
        <v>2032</v>
      </c>
      <c r="I135">
        <f t="shared" si="6"/>
        <v>14009.820000000002</v>
      </c>
      <c r="J135">
        <f t="shared" si="7"/>
        <v>12515.66</v>
      </c>
      <c r="K135">
        <f t="shared" si="8"/>
        <v>1282.7799999999997</v>
      </c>
      <c r="L135">
        <f t="shared" si="9"/>
        <v>211.37999999999997</v>
      </c>
    </row>
    <row r="136" spans="1:12">
      <c r="A136" s="2">
        <v>48410</v>
      </c>
      <c r="B136" t="s">
        <v>4</v>
      </c>
      <c r="C136">
        <v>116101.19</v>
      </c>
      <c r="D136">
        <v>1043.44</v>
      </c>
      <c r="E136">
        <v>106.43</v>
      </c>
      <c r="F136">
        <v>17.79</v>
      </c>
      <c r="G136">
        <v>1167.6600000000001</v>
      </c>
      <c r="H136">
        <f t="shared" si="5"/>
        <v>2032</v>
      </c>
      <c r="I136">
        <f t="shared" si="6"/>
        <v>14009.820000000002</v>
      </c>
      <c r="J136">
        <f t="shared" si="7"/>
        <v>12515.66</v>
      </c>
      <c r="K136">
        <f t="shared" si="8"/>
        <v>1282.7799999999997</v>
      </c>
      <c r="L136">
        <f t="shared" si="9"/>
        <v>211.37999999999997</v>
      </c>
    </row>
    <row r="137" spans="1:12">
      <c r="A137" s="2">
        <v>48441</v>
      </c>
      <c r="B137" t="s">
        <v>4</v>
      </c>
      <c r="C137">
        <v>115057.75</v>
      </c>
      <c r="D137">
        <v>1044.4000000000001</v>
      </c>
      <c r="E137">
        <v>105.47</v>
      </c>
      <c r="F137">
        <v>17.79</v>
      </c>
      <c r="G137">
        <v>1167.6600000000001</v>
      </c>
      <c r="H137">
        <f t="shared" ref="H137:H200" si="10">YEAR(A137)</f>
        <v>2032</v>
      </c>
      <c r="I137">
        <f t="shared" ref="I137:I200" si="11">SUMIF(H:H,H137,G:G)</f>
        <v>14009.820000000002</v>
      </c>
      <c r="J137">
        <f t="shared" ref="J137:J200" si="12">SUMIF(H:H,H137,D:D)</f>
        <v>12515.66</v>
      </c>
      <c r="K137">
        <f t="shared" ref="K137:K200" si="13">SUMIF(H:H,H137,E:E)</f>
        <v>1282.7799999999997</v>
      </c>
      <c r="L137">
        <f t="shared" ref="L137:L200" si="14">SUMIF(H:H,H137,F:F)</f>
        <v>211.37999999999997</v>
      </c>
    </row>
    <row r="138" spans="1:12">
      <c r="A138" s="2">
        <v>48472</v>
      </c>
      <c r="B138" t="s">
        <v>4</v>
      </c>
      <c r="C138">
        <v>114013.35</v>
      </c>
      <c r="D138">
        <v>1045.3599999999999</v>
      </c>
      <c r="E138">
        <v>104.51</v>
      </c>
      <c r="F138">
        <v>17.79</v>
      </c>
      <c r="G138">
        <v>1167.6600000000001</v>
      </c>
      <c r="H138">
        <f t="shared" si="10"/>
        <v>2032</v>
      </c>
      <c r="I138">
        <f t="shared" si="11"/>
        <v>14009.820000000002</v>
      </c>
      <c r="J138">
        <f t="shared" si="12"/>
        <v>12515.66</v>
      </c>
      <c r="K138">
        <f t="shared" si="13"/>
        <v>1282.7799999999997</v>
      </c>
      <c r="L138">
        <f t="shared" si="14"/>
        <v>211.37999999999997</v>
      </c>
    </row>
    <row r="139" spans="1:12">
      <c r="A139" s="2">
        <v>48502</v>
      </c>
      <c r="B139" t="s">
        <v>4</v>
      </c>
      <c r="C139">
        <v>112967.99</v>
      </c>
      <c r="D139">
        <v>1046.32</v>
      </c>
      <c r="E139">
        <v>103.55</v>
      </c>
      <c r="F139">
        <v>17.79</v>
      </c>
      <c r="G139">
        <v>1167.6600000000001</v>
      </c>
      <c r="H139">
        <f t="shared" si="10"/>
        <v>2032</v>
      </c>
      <c r="I139">
        <f t="shared" si="11"/>
        <v>14009.820000000002</v>
      </c>
      <c r="J139">
        <f t="shared" si="12"/>
        <v>12515.66</v>
      </c>
      <c r="K139">
        <f t="shared" si="13"/>
        <v>1282.7799999999997</v>
      </c>
      <c r="L139">
        <f t="shared" si="14"/>
        <v>211.37999999999997</v>
      </c>
    </row>
    <row r="140" spans="1:12">
      <c r="A140" s="2">
        <v>48533</v>
      </c>
      <c r="B140" t="s">
        <v>4</v>
      </c>
      <c r="C140">
        <v>111921.67</v>
      </c>
      <c r="D140">
        <v>1047.28</v>
      </c>
      <c r="E140">
        <v>102.59</v>
      </c>
      <c r="F140">
        <v>16.739999999999998</v>
      </c>
      <c r="G140">
        <v>1166.6099999999999</v>
      </c>
      <c r="H140">
        <f t="shared" si="10"/>
        <v>2032</v>
      </c>
      <c r="I140">
        <f t="shared" si="11"/>
        <v>14009.820000000002</v>
      </c>
      <c r="J140">
        <f t="shared" si="12"/>
        <v>12515.66</v>
      </c>
      <c r="K140">
        <f t="shared" si="13"/>
        <v>1282.7799999999997</v>
      </c>
      <c r="L140">
        <f t="shared" si="14"/>
        <v>211.37999999999997</v>
      </c>
    </row>
    <row r="141" spans="1:12">
      <c r="A141" s="2">
        <v>48563</v>
      </c>
      <c r="B141" t="s">
        <v>4</v>
      </c>
      <c r="C141">
        <v>110874.39</v>
      </c>
      <c r="D141">
        <v>1048.24</v>
      </c>
      <c r="E141">
        <v>101.63</v>
      </c>
      <c r="F141">
        <v>16.739999999999998</v>
      </c>
      <c r="G141">
        <v>1166.6099999999999</v>
      </c>
      <c r="H141">
        <f t="shared" si="10"/>
        <v>2032</v>
      </c>
      <c r="I141">
        <f t="shared" si="11"/>
        <v>14009.820000000002</v>
      </c>
      <c r="J141">
        <f t="shared" si="12"/>
        <v>12515.66</v>
      </c>
      <c r="K141">
        <f t="shared" si="13"/>
        <v>1282.7799999999997</v>
      </c>
      <c r="L141">
        <f t="shared" si="14"/>
        <v>211.37999999999997</v>
      </c>
    </row>
    <row r="142" spans="1:12">
      <c r="A142" s="2">
        <v>48594</v>
      </c>
      <c r="B142" t="s">
        <v>4</v>
      </c>
      <c r="C142">
        <v>109826.15</v>
      </c>
      <c r="D142">
        <v>1049.2</v>
      </c>
      <c r="E142">
        <v>100.67</v>
      </c>
      <c r="F142">
        <v>16.739999999999998</v>
      </c>
      <c r="G142">
        <v>1166.6099999999999</v>
      </c>
      <c r="H142">
        <f t="shared" si="10"/>
        <v>2033</v>
      </c>
      <c r="I142">
        <f t="shared" si="11"/>
        <v>13997.000000000002</v>
      </c>
      <c r="J142">
        <f t="shared" si="12"/>
        <v>12654.01</v>
      </c>
      <c r="K142">
        <f t="shared" si="13"/>
        <v>1144.43</v>
      </c>
      <c r="L142">
        <f t="shared" si="14"/>
        <v>198.56000000000003</v>
      </c>
    </row>
    <row r="143" spans="1:12">
      <c r="A143" s="2">
        <v>48625</v>
      </c>
      <c r="B143" t="s">
        <v>4</v>
      </c>
      <c r="C143">
        <v>108776.95</v>
      </c>
      <c r="D143">
        <v>1050.1600000000001</v>
      </c>
      <c r="E143">
        <v>99.71</v>
      </c>
      <c r="F143">
        <v>16.739999999999998</v>
      </c>
      <c r="G143">
        <v>1166.6099999999999</v>
      </c>
      <c r="H143">
        <f t="shared" si="10"/>
        <v>2033</v>
      </c>
      <c r="I143">
        <f t="shared" si="11"/>
        <v>13997.000000000002</v>
      </c>
      <c r="J143">
        <f t="shared" si="12"/>
        <v>12654.01</v>
      </c>
      <c r="K143">
        <f t="shared" si="13"/>
        <v>1144.43</v>
      </c>
      <c r="L143">
        <f t="shared" si="14"/>
        <v>198.56000000000003</v>
      </c>
    </row>
    <row r="144" spans="1:12">
      <c r="A144" s="2">
        <v>48653</v>
      </c>
      <c r="B144" t="s">
        <v>4</v>
      </c>
      <c r="C144">
        <v>107726.79</v>
      </c>
      <c r="D144">
        <v>1051.1199999999999</v>
      </c>
      <c r="E144">
        <v>98.75</v>
      </c>
      <c r="F144">
        <v>16.739999999999998</v>
      </c>
      <c r="G144">
        <v>1166.6099999999999</v>
      </c>
      <c r="H144">
        <f t="shared" si="10"/>
        <v>2033</v>
      </c>
      <c r="I144">
        <f t="shared" si="11"/>
        <v>13997.000000000002</v>
      </c>
      <c r="J144">
        <f t="shared" si="12"/>
        <v>12654.01</v>
      </c>
      <c r="K144">
        <f t="shared" si="13"/>
        <v>1144.43</v>
      </c>
      <c r="L144">
        <f t="shared" si="14"/>
        <v>198.56000000000003</v>
      </c>
    </row>
    <row r="145" spans="1:12">
      <c r="A145" s="2">
        <v>48684</v>
      </c>
      <c r="B145" t="s">
        <v>4</v>
      </c>
      <c r="C145">
        <v>106675.67</v>
      </c>
      <c r="D145">
        <v>1052.08</v>
      </c>
      <c r="E145">
        <v>97.79</v>
      </c>
      <c r="F145">
        <v>16.739999999999998</v>
      </c>
      <c r="G145">
        <v>1166.6099999999999</v>
      </c>
      <c r="H145">
        <f t="shared" si="10"/>
        <v>2033</v>
      </c>
      <c r="I145">
        <f t="shared" si="11"/>
        <v>13997.000000000002</v>
      </c>
      <c r="J145">
        <f t="shared" si="12"/>
        <v>12654.01</v>
      </c>
      <c r="K145">
        <f t="shared" si="13"/>
        <v>1144.43</v>
      </c>
      <c r="L145">
        <f t="shared" si="14"/>
        <v>198.56000000000003</v>
      </c>
    </row>
    <row r="146" spans="1:12">
      <c r="A146" s="2">
        <v>48714</v>
      </c>
      <c r="B146" t="s">
        <v>4</v>
      </c>
      <c r="C146">
        <v>105623.59</v>
      </c>
      <c r="D146">
        <v>1053.05</v>
      </c>
      <c r="E146">
        <v>96.82</v>
      </c>
      <c r="F146">
        <v>16.739999999999998</v>
      </c>
      <c r="G146">
        <v>1166.6099999999999</v>
      </c>
      <c r="H146">
        <f t="shared" si="10"/>
        <v>2033</v>
      </c>
      <c r="I146">
        <f t="shared" si="11"/>
        <v>13997.000000000002</v>
      </c>
      <c r="J146">
        <f t="shared" si="12"/>
        <v>12654.01</v>
      </c>
      <c r="K146">
        <f t="shared" si="13"/>
        <v>1144.43</v>
      </c>
      <c r="L146">
        <f t="shared" si="14"/>
        <v>198.56000000000003</v>
      </c>
    </row>
    <row r="147" spans="1:12">
      <c r="A147" s="2">
        <v>48745</v>
      </c>
      <c r="B147" t="s">
        <v>4</v>
      </c>
      <c r="C147">
        <v>104570.54</v>
      </c>
      <c r="D147">
        <v>1054.01</v>
      </c>
      <c r="E147">
        <v>95.86</v>
      </c>
      <c r="F147">
        <v>16.739999999999998</v>
      </c>
      <c r="G147">
        <v>1166.6099999999999</v>
      </c>
      <c r="H147">
        <f t="shared" si="10"/>
        <v>2033</v>
      </c>
      <c r="I147">
        <f t="shared" si="11"/>
        <v>13997.000000000002</v>
      </c>
      <c r="J147">
        <f t="shared" si="12"/>
        <v>12654.01</v>
      </c>
      <c r="K147">
        <f t="shared" si="13"/>
        <v>1144.43</v>
      </c>
      <c r="L147">
        <f t="shared" si="14"/>
        <v>198.56000000000003</v>
      </c>
    </row>
    <row r="148" spans="1:12">
      <c r="A148" s="2">
        <v>48775</v>
      </c>
      <c r="B148" t="s">
        <v>4</v>
      </c>
      <c r="C148">
        <v>103516.53</v>
      </c>
      <c r="D148">
        <v>1054.98</v>
      </c>
      <c r="E148">
        <v>94.89</v>
      </c>
      <c r="F148">
        <v>16.739999999999998</v>
      </c>
      <c r="G148">
        <v>1166.6099999999999</v>
      </c>
      <c r="H148">
        <f t="shared" si="10"/>
        <v>2033</v>
      </c>
      <c r="I148">
        <f t="shared" si="11"/>
        <v>13997.000000000002</v>
      </c>
      <c r="J148">
        <f t="shared" si="12"/>
        <v>12654.01</v>
      </c>
      <c r="K148">
        <f t="shared" si="13"/>
        <v>1144.43</v>
      </c>
      <c r="L148">
        <f t="shared" si="14"/>
        <v>198.56000000000003</v>
      </c>
    </row>
    <row r="149" spans="1:12">
      <c r="A149" s="2">
        <v>48806</v>
      </c>
      <c r="B149" t="s">
        <v>4</v>
      </c>
      <c r="C149">
        <v>102461.55</v>
      </c>
      <c r="D149">
        <v>1055.95</v>
      </c>
      <c r="E149">
        <v>93.92</v>
      </c>
      <c r="F149">
        <v>16.739999999999998</v>
      </c>
      <c r="G149">
        <v>1166.6099999999999</v>
      </c>
      <c r="H149">
        <f t="shared" si="10"/>
        <v>2033</v>
      </c>
      <c r="I149">
        <f t="shared" si="11"/>
        <v>13997.000000000002</v>
      </c>
      <c r="J149">
        <f t="shared" si="12"/>
        <v>12654.01</v>
      </c>
      <c r="K149">
        <f t="shared" si="13"/>
        <v>1144.43</v>
      </c>
      <c r="L149">
        <f t="shared" si="14"/>
        <v>198.56000000000003</v>
      </c>
    </row>
    <row r="150" spans="1:12">
      <c r="A150" s="2">
        <v>48837</v>
      </c>
      <c r="B150" t="s">
        <v>4</v>
      </c>
      <c r="C150">
        <v>101405.6</v>
      </c>
      <c r="D150">
        <v>1056.9100000000001</v>
      </c>
      <c r="E150">
        <v>92.96</v>
      </c>
      <c r="F150">
        <v>16.739999999999998</v>
      </c>
      <c r="G150">
        <v>1166.6099999999999</v>
      </c>
      <c r="H150">
        <f t="shared" si="10"/>
        <v>2033</v>
      </c>
      <c r="I150">
        <f t="shared" si="11"/>
        <v>13997.000000000002</v>
      </c>
      <c r="J150">
        <f t="shared" si="12"/>
        <v>12654.01</v>
      </c>
      <c r="K150">
        <f t="shared" si="13"/>
        <v>1144.43</v>
      </c>
      <c r="L150">
        <f t="shared" si="14"/>
        <v>198.56000000000003</v>
      </c>
    </row>
    <row r="151" spans="1:12">
      <c r="A151" s="2">
        <v>48867</v>
      </c>
      <c r="B151" t="s">
        <v>4</v>
      </c>
      <c r="C151">
        <v>100348.69</v>
      </c>
      <c r="D151">
        <v>1057.8800000000001</v>
      </c>
      <c r="E151">
        <v>91.99</v>
      </c>
      <c r="F151">
        <v>16.739999999999998</v>
      </c>
      <c r="G151">
        <v>1166.6099999999999</v>
      </c>
      <c r="H151">
        <f t="shared" si="10"/>
        <v>2033</v>
      </c>
      <c r="I151">
        <f t="shared" si="11"/>
        <v>13997.000000000002</v>
      </c>
      <c r="J151">
        <f t="shared" si="12"/>
        <v>12654.01</v>
      </c>
      <c r="K151">
        <f t="shared" si="13"/>
        <v>1144.43</v>
      </c>
      <c r="L151">
        <f t="shared" si="14"/>
        <v>198.56000000000003</v>
      </c>
    </row>
    <row r="152" spans="1:12">
      <c r="A152" s="2">
        <v>48898</v>
      </c>
      <c r="B152" t="s">
        <v>4</v>
      </c>
      <c r="C152">
        <v>99290.81</v>
      </c>
      <c r="D152">
        <v>1058.8499999999999</v>
      </c>
      <c r="E152">
        <v>91.02</v>
      </c>
      <c r="F152">
        <v>15.58</v>
      </c>
      <c r="G152">
        <v>1165.45</v>
      </c>
      <c r="H152">
        <f t="shared" si="10"/>
        <v>2033</v>
      </c>
      <c r="I152">
        <f t="shared" si="11"/>
        <v>13997.000000000002</v>
      </c>
      <c r="J152">
        <f t="shared" si="12"/>
        <v>12654.01</v>
      </c>
      <c r="K152">
        <f t="shared" si="13"/>
        <v>1144.43</v>
      </c>
      <c r="L152">
        <f t="shared" si="14"/>
        <v>198.56000000000003</v>
      </c>
    </row>
    <row r="153" spans="1:12">
      <c r="A153" s="2">
        <v>48928</v>
      </c>
      <c r="B153" t="s">
        <v>4</v>
      </c>
      <c r="C153">
        <v>98231.96</v>
      </c>
      <c r="D153">
        <v>1059.82</v>
      </c>
      <c r="E153">
        <v>90.05</v>
      </c>
      <c r="F153">
        <v>15.58</v>
      </c>
      <c r="G153">
        <v>1165.45</v>
      </c>
      <c r="H153">
        <f t="shared" si="10"/>
        <v>2033</v>
      </c>
      <c r="I153">
        <f t="shared" si="11"/>
        <v>13997.000000000002</v>
      </c>
      <c r="J153">
        <f t="shared" si="12"/>
        <v>12654.01</v>
      </c>
      <c r="K153">
        <f t="shared" si="13"/>
        <v>1144.43</v>
      </c>
      <c r="L153">
        <f t="shared" si="14"/>
        <v>198.56000000000003</v>
      </c>
    </row>
    <row r="154" spans="1:12">
      <c r="A154" s="2">
        <v>48959</v>
      </c>
      <c r="B154" t="s">
        <v>4</v>
      </c>
      <c r="C154">
        <v>97172.14</v>
      </c>
      <c r="D154">
        <v>1060.8</v>
      </c>
      <c r="E154">
        <v>89.07</v>
      </c>
      <c r="F154">
        <v>15.58</v>
      </c>
      <c r="G154">
        <v>1165.45</v>
      </c>
      <c r="H154">
        <f t="shared" si="10"/>
        <v>2034</v>
      </c>
      <c r="I154">
        <f t="shared" si="11"/>
        <v>13982.800000000001</v>
      </c>
      <c r="J154">
        <f t="shared" si="12"/>
        <v>12793.93</v>
      </c>
      <c r="K154">
        <f t="shared" si="13"/>
        <v>1004.5099999999999</v>
      </c>
      <c r="L154">
        <f t="shared" si="14"/>
        <v>184.36</v>
      </c>
    </row>
    <row r="155" spans="1:12">
      <c r="A155" s="2">
        <v>48990</v>
      </c>
      <c r="B155" t="s">
        <v>4</v>
      </c>
      <c r="C155">
        <v>96111.34</v>
      </c>
      <c r="D155">
        <v>1061.77</v>
      </c>
      <c r="E155">
        <v>88.1</v>
      </c>
      <c r="F155">
        <v>15.58</v>
      </c>
      <c r="G155">
        <v>1165.45</v>
      </c>
      <c r="H155">
        <f t="shared" si="10"/>
        <v>2034</v>
      </c>
      <c r="I155">
        <f t="shared" si="11"/>
        <v>13982.800000000001</v>
      </c>
      <c r="J155">
        <f t="shared" si="12"/>
        <v>12793.93</v>
      </c>
      <c r="K155">
        <f t="shared" si="13"/>
        <v>1004.5099999999999</v>
      </c>
      <c r="L155">
        <f t="shared" si="14"/>
        <v>184.36</v>
      </c>
    </row>
    <row r="156" spans="1:12">
      <c r="A156" s="2">
        <v>49018</v>
      </c>
      <c r="B156" t="s">
        <v>4</v>
      </c>
      <c r="C156">
        <v>95049.57</v>
      </c>
      <c r="D156">
        <v>1062.74</v>
      </c>
      <c r="E156">
        <v>87.13</v>
      </c>
      <c r="F156">
        <v>15.58</v>
      </c>
      <c r="G156">
        <v>1165.45</v>
      </c>
      <c r="H156">
        <f t="shared" si="10"/>
        <v>2034</v>
      </c>
      <c r="I156">
        <f t="shared" si="11"/>
        <v>13982.800000000001</v>
      </c>
      <c r="J156">
        <f t="shared" si="12"/>
        <v>12793.93</v>
      </c>
      <c r="K156">
        <f t="shared" si="13"/>
        <v>1004.5099999999999</v>
      </c>
      <c r="L156">
        <f t="shared" si="14"/>
        <v>184.36</v>
      </c>
    </row>
    <row r="157" spans="1:12">
      <c r="A157" s="2">
        <v>49049</v>
      </c>
      <c r="B157" t="s">
        <v>4</v>
      </c>
      <c r="C157">
        <v>93986.83</v>
      </c>
      <c r="D157">
        <v>1063.72</v>
      </c>
      <c r="E157">
        <v>86.15</v>
      </c>
      <c r="F157">
        <v>15.58</v>
      </c>
      <c r="G157">
        <v>1165.45</v>
      </c>
      <c r="H157">
        <f t="shared" si="10"/>
        <v>2034</v>
      </c>
      <c r="I157">
        <f t="shared" si="11"/>
        <v>13982.800000000001</v>
      </c>
      <c r="J157">
        <f t="shared" si="12"/>
        <v>12793.93</v>
      </c>
      <c r="K157">
        <f t="shared" si="13"/>
        <v>1004.5099999999999</v>
      </c>
      <c r="L157">
        <f t="shared" si="14"/>
        <v>184.36</v>
      </c>
    </row>
    <row r="158" spans="1:12">
      <c r="A158" s="2">
        <v>49079</v>
      </c>
      <c r="B158" t="s">
        <v>4</v>
      </c>
      <c r="C158">
        <v>92923.11</v>
      </c>
      <c r="D158">
        <v>1064.69</v>
      </c>
      <c r="E158">
        <v>85.18</v>
      </c>
      <c r="F158">
        <v>15.58</v>
      </c>
      <c r="G158">
        <v>1165.45</v>
      </c>
      <c r="H158">
        <f t="shared" si="10"/>
        <v>2034</v>
      </c>
      <c r="I158">
        <f t="shared" si="11"/>
        <v>13982.800000000001</v>
      </c>
      <c r="J158">
        <f t="shared" si="12"/>
        <v>12793.93</v>
      </c>
      <c r="K158">
        <f t="shared" si="13"/>
        <v>1004.5099999999999</v>
      </c>
      <c r="L158">
        <f t="shared" si="14"/>
        <v>184.36</v>
      </c>
    </row>
    <row r="159" spans="1:12">
      <c r="A159" s="2">
        <v>49110</v>
      </c>
      <c r="B159" t="s">
        <v>4</v>
      </c>
      <c r="C159">
        <v>91858.42</v>
      </c>
      <c r="D159">
        <v>1065.67</v>
      </c>
      <c r="E159">
        <v>84.2</v>
      </c>
      <c r="F159">
        <v>15.58</v>
      </c>
      <c r="G159">
        <v>1165.45</v>
      </c>
      <c r="H159">
        <f t="shared" si="10"/>
        <v>2034</v>
      </c>
      <c r="I159">
        <f t="shared" si="11"/>
        <v>13982.800000000001</v>
      </c>
      <c r="J159">
        <f t="shared" si="12"/>
        <v>12793.93</v>
      </c>
      <c r="K159">
        <f t="shared" si="13"/>
        <v>1004.5099999999999</v>
      </c>
      <c r="L159">
        <f t="shared" si="14"/>
        <v>184.36</v>
      </c>
    </row>
    <row r="160" spans="1:12">
      <c r="A160" s="2">
        <v>49140</v>
      </c>
      <c r="B160" t="s">
        <v>4</v>
      </c>
      <c r="C160">
        <v>90792.75</v>
      </c>
      <c r="D160">
        <v>1066.6400000000001</v>
      </c>
      <c r="E160">
        <v>83.23</v>
      </c>
      <c r="F160">
        <v>15.58</v>
      </c>
      <c r="G160">
        <v>1165.45</v>
      </c>
      <c r="H160">
        <f t="shared" si="10"/>
        <v>2034</v>
      </c>
      <c r="I160">
        <f t="shared" si="11"/>
        <v>13982.800000000001</v>
      </c>
      <c r="J160">
        <f t="shared" si="12"/>
        <v>12793.93</v>
      </c>
      <c r="K160">
        <f t="shared" si="13"/>
        <v>1004.5099999999999</v>
      </c>
      <c r="L160">
        <f t="shared" si="14"/>
        <v>184.36</v>
      </c>
    </row>
    <row r="161" spans="1:12">
      <c r="A161" s="2">
        <v>49171</v>
      </c>
      <c r="B161" t="s">
        <v>4</v>
      </c>
      <c r="C161">
        <v>89726.11</v>
      </c>
      <c r="D161">
        <v>1067.6199999999999</v>
      </c>
      <c r="E161">
        <v>82.25</v>
      </c>
      <c r="F161">
        <v>15.58</v>
      </c>
      <c r="G161">
        <v>1165.45</v>
      </c>
      <c r="H161">
        <f t="shared" si="10"/>
        <v>2034</v>
      </c>
      <c r="I161">
        <f t="shared" si="11"/>
        <v>13982.800000000001</v>
      </c>
      <c r="J161">
        <f t="shared" si="12"/>
        <v>12793.93</v>
      </c>
      <c r="K161">
        <f t="shared" si="13"/>
        <v>1004.5099999999999</v>
      </c>
      <c r="L161">
        <f t="shared" si="14"/>
        <v>184.36</v>
      </c>
    </row>
    <row r="162" spans="1:12">
      <c r="A162" s="2">
        <v>49202</v>
      </c>
      <c r="B162" t="s">
        <v>4</v>
      </c>
      <c r="C162">
        <v>88658.49</v>
      </c>
      <c r="D162">
        <v>1068.5999999999999</v>
      </c>
      <c r="E162">
        <v>81.27</v>
      </c>
      <c r="F162">
        <v>15.58</v>
      </c>
      <c r="G162">
        <v>1165.45</v>
      </c>
      <c r="H162">
        <f t="shared" si="10"/>
        <v>2034</v>
      </c>
      <c r="I162">
        <f t="shared" si="11"/>
        <v>13982.800000000001</v>
      </c>
      <c r="J162">
        <f t="shared" si="12"/>
        <v>12793.93</v>
      </c>
      <c r="K162">
        <f t="shared" si="13"/>
        <v>1004.5099999999999</v>
      </c>
      <c r="L162">
        <f t="shared" si="14"/>
        <v>184.36</v>
      </c>
    </row>
    <row r="163" spans="1:12">
      <c r="A163" s="2">
        <v>49232</v>
      </c>
      <c r="B163" t="s">
        <v>4</v>
      </c>
      <c r="C163">
        <v>87589.89</v>
      </c>
      <c r="D163">
        <v>1069.58</v>
      </c>
      <c r="E163">
        <v>80.290000000000006</v>
      </c>
      <c r="F163">
        <v>15.58</v>
      </c>
      <c r="G163">
        <v>1165.45</v>
      </c>
      <c r="H163">
        <f t="shared" si="10"/>
        <v>2034</v>
      </c>
      <c r="I163">
        <f t="shared" si="11"/>
        <v>13982.800000000001</v>
      </c>
      <c r="J163">
        <f t="shared" si="12"/>
        <v>12793.93</v>
      </c>
      <c r="K163">
        <f t="shared" si="13"/>
        <v>1004.5099999999999</v>
      </c>
      <c r="L163">
        <f t="shared" si="14"/>
        <v>184.36</v>
      </c>
    </row>
    <row r="164" spans="1:12">
      <c r="A164" s="2">
        <v>49263</v>
      </c>
      <c r="B164" t="s">
        <v>4</v>
      </c>
      <c r="C164">
        <v>86520.31</v>
      </c>
      <c r="D164">
        <v>1070.56</v>
      </c>
      <c r="E164">
        <v>79.31</v>
      </c>
      <c r="F164">
        <v>14.28</v>
      </c>
      <c r="G164">
        <v>1164.1500000000001</v>
      </c>
      <c r="H164">
        <f t="shared" si="10"/>
        <v>2034</v>
      </c>
      <c r="I164">
        <f t="shared" si="11"/>
        <v>13982.800000000001</v>
      </c>
      <c r="J164">
        <f t="shared" si="12"/>
        <v>12793.93</v>
      </c>
      <c r="K164">
        <f t="shared" si="13"/>
        <v>1004.5099999999999</v>
      </c>
      <c r="L164">
        <f t="shared" si="14"/>
        <v>184.36</v>
      </c>
    </row>
    <row r="165" spans="1:12">
      <c r="A165" s="2">
        <v>49293</v>
      </c>
      <c r="B165" t="s">
        <v>4</v>
      </c>
      <c r="C165">
        <v>85449.75</v>
      </c>
      <c r="D165">
        <v>1071.54</v>
      </c>
      <c r="E165">
        <v>78.33</v>
      </c>
      <c r="F165">
        <v>14.28</v>
      </c>
      <c r="G165">
        <v>1164.1500000000001</v>
      </c>
      <c r="H165">
        <f t="shared" si="10"/>
        <v>2034</v>
      </c>
      <c r="I165">
        <f t="shared" si="11"/>
        <v>13982.800000000001</v>
      </c>
      <c r="J165">
        <f t="shared" si="12"/>
        <v>12793.93</v>
      </c>
      <c r="K165">
        <f t="shared" si="13"/>
        <v>1004.5099999999999</v>
      </c>
      <c r="L165">
        <f t="shared" si="14"/>
        <v>184.36</v>
      </c>
    </row>
    <row r="166" spans="1:12">
      <c r="A166" s="2">
        <v>49324</v>
      </c>
      <c r="B166" t="s">
        <v>4</v>
      </c>
      <c r="C166">
        <v>84378.21</v>
      </c>
      <c r="D166">
        <v>1072.52</v>
      </c>
      <c r="E166">
        <v>77.349999999999994</v>
      </c>
      <c r="F166">
        <v>14.28</v>
      </c>
      <c r="G166">
        <v>1164.1500000000001</v>
      </c>
      <c r="H166">
        <f t="shared" si="10"/>
        <v>2035</v>
      </c>
      <c r="I166">
        <f t="shared" si="11"/>
        <v>13966.859999999999</v>
      </c>
      <c r="J166">
        <f t="shared" si="12"/>
        <v>12935.369999999999</v>
      </c>
      <c r="K166">
        <f t="shared" si="13"/>
        <v>863.07000000000016</v>
      </c>
      <c r="L166">
        <f t="shared" si="14"/>
        <v>168.42</v>
      </c>
    </row>
    <row r="167" spans="1:12">
      <c r="A167" s="2">
        <v>49355</v>
      </c>
      <c r="B167" t="s">
        <v>4</v>
      </c>
      <c r="C167">
        <v>83305.69</v>
      </c>
      <c r="D167">
        <v>1073.51</v>
      </c>
      <c r="E167">
        <v>76.36</v>
      </c>
      <c r="F167">
        <v>14.28</v>
      </c>
      <c r="G167">
        <v>1164.1500000000001</v>
      </c>
      <c r="H167">
        <f t="shared" si="10"/>
        <v>2035</v>
      </c>
      <c r="I167">
        <f t="shared" si="11"/>
        <v>13966.859999999999</v>
      </c>
      <c r="J167">
        <f t="shared" si="12"/>
        <v>12935.369999999999</v>
      </c>
      <c r="K167">
        <f t="shared" si="13"/>
        <v>863.07000000000016</v>
      </c>
      <c r="L167">
        <f t="shared" si="14"/>
        <v>168.42</v>
      </c>
    </row>
    <row r="168" spans="1:12">
      <c r="A168" s="2">
        <v>49383</v>
      </c>
      <c r="B168" t="s">
        <v>4</v>
      </c>
      <c r="C168">
        <v>82232.179999999993</v>
      </c>
      <c r="D168">
        <v>1074.49</v>
      </c>
      <c r="E168">
        <v>75.38</v>
      </c>
      <c r="F168">
        <v>14.28</v>
      </c>
      <c r="G168">
        <v>1164.1500000000001</v>
      </c>
      <c r="H168">
        <f t="shared" si="10"/>
        <v>2035</v>
      </c>
      <c r="I168">
        <f t="shared" si="11"/>
        <v>13966.859999999999</v>
      </c>
      <c r="J168">
        <f t="shared" si="12"/>
        <v>12935.369999999999</v>
      </c>
      <c r="K168">
        <f t="shared" si="13"/>
        <v>863.07000000000016</v>
      </c>
      <c r="L168">
        <f t="shared" si="14"/>
        <v>168.42</v>
      </c>
    </row>
    <row r="169" spans="1:12">
      <c r="A169" s="2">
        <v>49414</v>
      </c>
      <c r="B169" t="s">
        <v>4</v>
      </c>
      <c r="C169">
        <v>81157.69</v>
      </c>
      <c r="D169">
        <v>1075.48</v>
      </c>
      <c r="E169">
        <v>74.39</v>
      </c>
      <c r="F169">
        <v>14.28</v>
      </c>
      <c r="G169">
        <v>1164.1500000000001</v>
      </c>
      <c r="H169">
        <f t="shared" si="10"/>
        <v>2035</v>
      </c>
      <c r="I169">
        <f t="shared" si="11"/>
        <v>13966.859999999999</v>
      </c>
      <c r="J169">
        <f t="shared" si="12"/>
        <v>12935.369999999999</v>
      </c>
      <c r="K169">
        <f t="shared" si="13"/>
        <v>863.07000000000016</v>
      </c>
      <c r="L169">
        <f t="shared" si="14"/>
        <v>168.42</v>
      </c>
    </row>
    <row r="170" spans="1:12">
      <c r="A170" s="2">
        <v>49444</v>
      </c>
      <c r="B170" t="s">
        <v>4</v>
      </c>
      <c r="C170">
        <v>80082.210000000006</v>
      </c>
      <c r="D170">
        <v>1076.46</v>
      </c>
      <c r="E170">
        <v>73.41</v>
      </c>
      <c r="F170">
        <v>14.28</v>
      </c>
      <c r="G170">
        <v>1164.1500000000001</v>
      </c>
      <c r="H170">
        <f t="shared" si="10"/>
        <v>2035</v>
      </c>
      <c r="I170">
        <f t="shared" si="11"/>
        <v>13966.859999999999</v>
      </c>
      <c r="J170">
        <f t="shared" si="12"/>
        <v>12935.369999999999</v>
      </c>
      <c r="K170">
        <f t="shared" si="13"/>
        <v>863.07000000000016</v>
      </c>
      <c r="L170">
        <f t="shared" si="14"/>
        <v>168.42</v>
      </c>
    </row>
    <row r="171" spans="1:12">
      <c r="A171" s="2">
        <v>49475</v>
      </c>
      <c r="B171" t="s">
        <v>4</v>
      </c>
      <c r="C171">
        <v>79005.75</v>
      </c>
      <c r="D171">
        <v>1077.45</v>
      </c>
      <c r="E171">
        <v>72.42</v>
      </c>
      <c r="F171">
        <v>14.28</v>
      </c>
      <c r="G171">
        <v>1164.1500000000001</v>
      </c>
      <c r="H171">
        <f t="shared" si="10"/>
        <v>2035</v>
      </c>
      <c r="I171">
        <f t="shared" si="11"/>
        <v>13966.859999999999</v>
      </c>
      <c r="J171">
        <f t="shared" si="12"/>
        <v>12935.369999999999</v>
      </c>
      <c r="K171">
        <f t="shared" si="13"/>
        <v>863.07000000000016</v>
      </c>
      <c r="L171">
        <f t="shared" si="14"/>
        <v>168.42</v>
      </c>
    </row>
    <row r="172" spans="1:12">
      <c r="A172" s="2">
        <v>49505</v>
      </c>
      <c r="B172" t="s">
        <v>4</v>
      </c>
      <c r="C172">
        <v>77928.3</v>
      </c>
      <c r="D172">
        <v>1078.44</v>
      </c>
      <c r="E172">
        <v>71.430000000000007</v>
      </c>
      <c r="F172">
        <v>14.28</v>
      </c>
      <c r="G172">
        <v>1164.1500000000001</v>
      </c>
      <c r="H172">
        <f t="shared" si="10"/>
        <v>2035</v>
      </c>
      <c r="I172">
        <f t="shared" si="11"/>
        <v>13966.859999999999</v>
      </c>
      <c r="J172">
        <f t="shared" si="12"/>
        <v>12935.369999999999</v>
      </c>
      <c r="K172">
        <f t="shared" si="13"/>
        <v>863.07000000000016</v>
      </c>
      <c r="L172">
        <f t="shared" si="14"/>
        <v>168.42</v>
      </c>
    </row>
    <row r="173" spans="1:12">
      <c r="A173" s="2">
        <v>49536</v>
      </c>
      <c r="B173" t="s">
        <v>4</v>
      </c>
      <c r="C173">
        <v>76849.86</v>
      </c>
      <c r="D173">
        <v>1079.42</v>
      </c>
      <c r="E173">
        <v>70.45</v>
      </c>
      <c r="F173">
        <v>14.28</v>
      </c>
      <c r="G173">
        <v>1164.1500000000001</v>
      </c>
      <c r="H173">
        <f t="shared" si="10"/>
        <v>2035</v>
      </c>
      <c r="I173">
        <f t="shared" si="11"/>
        <v>13966.859999999999</v>
      </c>
      <c r="J173">
        <f t="shared" si="12"/>
        <v>12935.369999999999</v>
      </c>
      <c r="K173">
        <f t="shared" si="13"/>
        <v>863.07000000000016</v>
      </c>
      <c r="L173">
        <f t="shared" si="14"/>
        <v>168.42</v>
      </c>
    </row>
    <row r="174" spans="1:12">
      <c r="A174" s="2">
        <v>49567</v>
      </c>
      <c r="B174" t="s">
        <v>4</v>
      </c>
      <c r="C174">
        <v>75770.44</v>
      </c>
      <c r="D174">
        <v>1080.4100000000001</v>
      </c>
      <c r="E174">
        <v>69.459999999999994</v>
      </c>
      <c r="F174">
        <v>14.28</v>
      </c>
      <c r="G174">
        <v>1164.1500000000001</v>
      </c>
      <c r="H174">
        <f t="shared" si="10"/>
        <v>2035</v>
      </c>
      <c r="I174">
        <f t="shared" si="11"/>
        <v>13966.859999999999</v>
      </c>
      <c r="J174">
        <f t="shared" si="12"/>
        <v>12935.369999999999</v>
      </c>
      <c r="K174">
        <f t="shared" si="13"/>
        <v>863.07000000000016</v>
      </c>
      <c r="L174">
        <f t="shared" si="14"/>
        <v>168.42</v>
      </c>
    </row>
    <row r="175" spans="1:12">
      <c r="A175" s="2">
        <v>49597</v>
      </c>
      <c r="B175" t="s">
        <v>4</v>
      </c>
      <c r="C175">
        <v>74690.03</v>
      </c>
      <c r="D175">
        <v>1081.4000000000001</v>
      </c>
      <c r="E175">
        <v>68.47</v>
      </c>
      <c r="F175">
        <v>14.28</v>
      </c>
      <c r="G175">
        <v>1164.1500000000001</v>
      </c>
      <c r="H175">
        <f t="shared" si="10"/>
        <v>2035</v>
      </c>
      <c r="I175">
        <f t="shared" si="11"/>
        <v>13966.859999999999</v>
      </c>
      <c r="J175">
        <f t="shared" si="12"/>
        <v>12935.369999999999</v>
      </c>
      <c r="K175">
        <f t="shared" si="13"/>
        <v>863.07000000000016</v>
      </c>
      <c r="L175">
        <f t="shared" si="14"/>
        <v>168.42</v>
      </c>
    </row>
    <row r="176" spans="1:12">
      <c r="A176" s="2">
        <v>49628</v>
      </c>
      <c r="B176" t="s">
        <v>4</v>
      </c>
      <c r="C176">
        <v>73608.63</v>
      </c>
      <c r="D176">
        <v>1082.4000000000001</v>
      </c>
      <c r="E176">
        <v>67.47</v>
      </c>
      <c r="F176">
        <v>12.81</v>
      </c>
      <c r="G176">
        <v>1162.68</v>
      </c>
      <c r="H176">
        <f t="shared" si="10"/>
        <v>2035</v>
      </c>
      <c r="I176">
        <f t="shared" si="11"/>
        <v>13966.859999999999</v>
      </c>
      <c r="J176">
        <f t="shared" si="12"/>
        <v>12935.369999999999</v>
      </c>
      <c r="K176">
        <f t="shared" si="13"/>
        <v>863.07000000000016</v>
      </c>
      <c r="L176">
        <f t="shared" si="14"/>
        <v>168.42</v>
      </c>
    </row>
    <row r="177" spans="1:12">
      <c r="A177" s="2">
        <v>49658</v>
      </c>
      <c r="B177" t="s">
        <v>4</v>
      </c>
      <c r="C177">
        <v>72526.23</v>
      </c>
      <c r="D177">
        <v>1083.3900000000001</v>
      </c>
      <c r="E177">
        <v>66.48</v>
      </c>
      <c r="F177">
        <v>12.81</v>
      </c>
      <c r="G177">
        <v>1162.68</v>
      </c>
      <c r="H177">
        <f t="shared" si="10"/>
        <v>2035</v>
      </c>
      <c r="I177">
        <f t="shared" si="11"/>
        <v>13966.859999999999</v>
      </c>
      <c r="J177">
        <f t="shared" si="12"/>
        <v>12935.369999999999</v>
      </c>
      <c r="K177">
        <f t="shared" si="13"/>
        <v>863.07000000000016</v>
      </c>
      <c r="L177">
        <f t="shared" si="14"/>
        <v>168.42</v>
      </c>
    </row>
    <row r="178" spans="1:12">
      <c r="A178" s="2">
        <v>49689</v>
      </c>
      <c r="B178" t="s">
        <v>4</v>
      </c>
      <c r="C178">
        <v>71442.84</v>
      </c>
      <c r="D178">
        <v>1084.3800000000001</v>
      </c>
      <c r="E178">
        <v>65.489999999999995</v>
      </c>
      <c r="F178">
        <v>12.81</v>
      </c>
      <c r="G178">
        <v>1162.68</v>
      </c>
      <c r="H178">
        <f t="shared" si="10"/>
        <v>2036</v>
      </c>
      <c r="I178">
        <f t="shared" si="11"/>
        <v>13948.820000000002</v>
      </c>
      <c r="J178">
        <f t="shared" si="12"/>
        <v>13078.380000000001</v>
      </c>
      <c r="K178">
        <f t="shared" si="13"/>
        <v>720.06</v>
      </c>
      <c r="L178">
        <f t="shared" si="14"/>
        <v>150.38</v>
      </c>
    </row>
    <row r="179" spans="1:12">
      <c r="A179" s="2">
        <v>49720</v>
      </c>
      <c r="B179" t="s">
        <v>4</v>
      </c>
      <c r="C179">
        <v>70358.460000000006</v>
      </c>
      <c r="D179">
        <v>1085.3699999999999</v>
      </c>
      <c r="E179">
        <v>64.5</v>
      </c>
      <c r="F179">
        <v>12.81</v>
      </c>
      <c r="G179">
        <v>1162.68</v>
      </c>
      <c r="H179">
        <f t="shared" si="10"/>
        <v>2036</v>
      </c>
      <c r="I179">
        <f t="shared" si="11"/>
        <v>13948.820000000002</v>
      </c>
      <c r="J179">
        <f t="shared" si="12"/>
        <v>13078.380000000001</v>
      </c>
      <c r="K179">
        <f t="shared" si="13"/>
        <v>720.06</v>
      </c>
      <c r="L179">
        <f t="shared" si="14"/>
        <v>150.38</v>
      </c>
    </row>
    <row r="180" spans="1:12">
      <c r="A180" s="2">
        <v>49749</v>
      </c>
      <c r="B180" t="s">
        <v>4</v>
      </c>
      <c r="C180">
        <v>69273.09</v>
      </c>
      <c r="D180">
        <v>1086.3699999999999</v>
      </c>
      <c r="E180">
        <v>63.5</v>
      </c>
      <c r="F180">
        <v>12.81</v>
      </c>
      <c r="G180">
        <v>1162.68</v>
      </c>
      <c r="H180">
        <f t="shared" si="10"/>
        <v>2036</v>
      </c>
      <c r="I180">
        <f t="shared" si="11"/>
        <v>13948.820000000002</v>
      </c>
      <c r="J180">
        <f t="shared" si="12"/>
        <v>13078.380000000001</v>
      </c>
      <c r="K180">
        <f t="shared" si="13"/>
        <v>720.06</v>
      </c>
      <c r="L180">
        <f t="shared" si="14"/>
        <v>150.38</v>
      </c>
    </row>
    <row r="181" spans="1:12">
      <c r="A181" s="2">
        <v>49780</v>
      </c>
      <c r="B181" t="s">
        <v>4</v>
      </c>
      <c r="C181">
        <v>68186.720000000001</v>
      </c>
      <c r="D181">
        <v>1087.3699999999999</v>
      </c>
      <c r="E181">
        <v>62.5</v>
      </c>
      <c r="F181">
        <v>12.81</v>
      </c>
      <c r="G181">
        <v>1162.68</v>
      </c>
      <c r="H181">
        <f t="shared" si="10"/>
        <v>2036</v>
      </c>
      <c r="I181">
        <f t="shared" si="11"/>
        <v>13948.820000000002</v>
      </c>
      <c r="J181">
        <f t="shared" si="12"/>
        <v>13078.380000000001</v>
      </c>
      <c r="K181">
        <f t="shared" si="13"/>
        <v>720.06</v>
      </c>
      <c r="L181">
        <f t="shared" si="14"/>
        <v>150.38</v>
      </c>
    </row>
    <row r="182" spans="1:12">
      <c r="A182" s="2">
        <v>49810</v>
      </c>
      <c r="B182" t="s">
        <v>4</v>
      </c>
      <c r="C182">
        <v>67099.350000000006</v>
      </c>
      <c r="D182">
        <v>1088.3599999999999</v>
      </c>
      <c r="E182">
        <v>61.51</v>
      </c>
      <c r="F182">
        <v>12.81</v>
      </c>
      <c r="G182">
        <v>1162.68</v>
      </c>
      <c r="H182">
        <f t="shared" si="10"/>
        <v>2036</v>
      </c>
      <c r="I182">
        <f t="shared" si="11"/>
        <v>13948.820000000002</v>
      </c>
      <c r="J182">
        <f t="shared" si="12"/>
        <v>13078.380000000001</v>
      </c>
      <c r="K182">
        <f t="shared" si="13"/>
        <v>720.06</v>
      </c>
      <c r="L182">
        <f t="shared" si="14"/>
        <v>150.38</v>
      </c>
    </row>
    <row r="183" spans="1:12">
      <c r="A183" s="2">
        <v>49841</v>
      </c>
      <c r="B183" t="s">
        <v>4</v>
      </c>
      <c r="C183">
        <v>66010.990000000005</v>
      </c>
      <c r="D183">
        <v>1089.3599999999999</v>
      </c>
      <c r="E183">
        <v>60.51</v>
      </c>
      <c r="F183">
        <v>12.81</v>
      </c>
      <c r="G183">
        <v>1162.68</v>
      </c>
      <c r="H183">
        <f t="shared" si="10"/>
        <v>2036</v>
      </c>
      <c r="I183">
        <f t="shared" si="11"/>
        <v>13948.820000000002</v>
      </c>
      <c r="J183">
        <f t="shared" si="12"/>
        <v>13078.380000000001</v>
      </c>
      <c r="K183">
        <f t="shared" si="13"/>
        <v>720.06</v>
      </c>
      <c r="L183">
        <f t="shared" si="14"/>
        <v>150.38</v>
      </c>
    </row>
    <row r="184" spans="1:12">
      <c r="A184" s="2">
        <v>49871</v>
      </c>
      <c r="B184" t="s">
        <v>4</v>
      </c>
      <c r="C184">
        <v>64921.63</v>
      </c>
      <c r="D184">
        <v>1090.3599999999999</v>
      </c>
      <c r="E184">
        <v>59.51</v>
      </c>
      <c r="F184">
        <v>12.81</v>
      </c>
      <c r="G184">
        <v>1162.68</v>
      </c>
      <c r="H184">
        <f t="shared" si="10"/>
        <v>2036</v>
      </c>
      <c r="I184">
        <f t="shared" si="11"/>
        <v>13948.820000000002</v>
      </c>
      <c r="J184">
        <f t="shared" si="12"/>
        <v>13078.380000000001</v>
      </c>
      <c r="K184">
        <f t="shared" si="13"/>
        <v>720.06</v>
      </c>
      <c r="L184">
        <f t="shared" si="14"/>
        <v>150.38</v>
      </c>
    </row>
    <row r="185" spans="1:12">
      <c r="A185" s="2">
        <v>49902</v>
      </c>
      <c r="B185" t="s">
        <v>4</v>
      </c>
      <c r="C185">
        <v>63831.27</v>
      </c>
      <c r="D185">
        <v>1091.3599999999999</v>
      </c>
      <c r="E185">
        <v>58.51</v>
      </c>
      <c r="F185">
        <v>12.81</v>
      </c>
      <c r="G185">
        <v>1162.68</v>
      </c>
      <c r="H185">
        <f t="shared" si="10"/>
        <v>2036</v>
      </c>
      <c r="I185">
        <f t="shared" si="11"/>
        <v>13948.820000000002</v>
      </c>
      <c r="J185">
        <f t="shared" si="12"/>
        <v>13078.380000000001</v>
      </c>
      <c r="K185">
        <f t="shared" si="13"/>
        <v>720.06</v>
      </c>
      <c r="L185">
        <f t="shared" si="14"/>
        <v>150.38</v>
      </c>
    </row>
    <row r="186" spans="1:12">
      <c r="A186" s="2">
        <v>49933</v>
      </c>
      <c r="B186" t="s">
        <v>4</v>
      </c>
      <c r="C186">
        <v>62739.91</v>
      </c>
      <c r="D186">
        <v>1092.3599999999999</v>
      </c>
      <c r="E186">
        <v>57.51</v>
      </c>
      <c r="F186">
        <v>12.81</v>
      </c>
      <c r="G186">
        <v>1162.68</v>
      </c>
      <c r="H186">
        <f t="shared" si="10"/>
        <v>2036</v>
      </c>
      <c r="I186">
        <f t="shared" si="11"/>
        <v>13948.820000000002</v>
      </c>
      <c r="J186">
        <f t="shared" si="12"/>
        <v>13078.380000000001</v>
      </c>
      <c r="K186">
        <f t="shared" si="13"/>
        <v>720.06</v>
      </c>
      <c r="L186">
        <f t="shared" si="14"/>
        <v>150.38</v>
      </c>
    </row>
    <row r="187" spans="1:12">
      <c r="A187" s="2">
        <v>49963</v>
      </c>
      <c r="B187" t="s">
        <v>4</v>
      </c>
      <c r="C187">
        <v>61647.55</v>
      </c>
      <c r="D187">
        <v>1093.3599999999999</v>
      </c>
      <c r="E187">
        <v>56.51</v>
      </c>
      <c r="F187">
        <v>12.81</v>
      </c>
      <c r="G187">
        <v>1162.68</v>
      </c>
      <c r="H187">
        <f t="shared" si="10"/>
        <v>2036</v>
      </c>
      <c r="I187">
        <f t="shared" si="11"/>
        <v>13948.820000000002</v>
      </c>
      <c r="J187">
        <f t="shared" si="12"/>
        <v>13078.380000000001</v>
      </c>
      <c r="K187">
        <f t="shared" si="13"/>
        <v>720.06</v>
      </c>
      <c r="L187">
        <f t="shared" si="14"/>
        <v>150.38</v>
      </c>
    </row>
    <row r="188" spans="1:12">
      <c r="A188" s="2">
        <v>49994</v>
      </c>
      <c r="B188" t="s">
        <v>4</v>
      </c>
      <c r="C188">
        <v>60554.19</v>
      </c>
      <c r="D188">
        <v>1094.3599999999999</v>
      </c>
      <c r="E188">
        <v>55.51</v>
      </c>
      <c r="F188">
        <v>11.14</v>
      </c>
      <c r="G188">
        <v>1161.01</v>
      </c>
      <c r="H188">
        <f t="shared" si="10"/>
        <v>2036</v>
      </c>
      <c r="I188">
        <f t="shared" si="11"/>
        <v>13948.820000000002</v>
      </c>
      <c r="J188">
        <f t="shared" si="12"/>
        <v>13078.380000000001</v>
      </c>
      <c r="K188">
        <f t="shared" si="13"/>
        <v>720.06</v>
      </c>
      <c r="L188">
        <f t="shared" si="14"/>
        <v>150.38</v>
      </c>
    </row>
    <row r="189" spans="1:12">
      <c r="A189" s="2">
        <v>50024</v>
      </c>
      <c r="B189" t="s">
        <v>4</v>
      </c>
      <c r="C189">
        <v>59459.83</v>
      </c>
      <c r="D189">
        <v>1095.3699999999999</v>
      </c>
      <c r="E189">
        <v>54.5</v>
      </c>
      <c r="F189">
        <v>11.14</v>
      </c>
      <c r="G189">
        <v>1161.01</v>
      </c>
      <c r="H189">
        <f t="shared" si="10"/>
        <v>2036</v>
      </c>
      <c r="I189">
        <f t="shared" si="11"/>
        <v>13948.820000000002</v>
      </c>
      <c r="J189">
        <f t="shared" si="12"/>
        <v>13078.380000000001</v>
      </c>
      <c r="K189">
        <f t="shared" si="13"/>
        <v>720.06</v>
      </c>
      <c r="L189">
        <f t="shared" si="14"/>
        <v>150.38</v>
      </c>
    </row>
    <row r="190" spans="1:12">
      <c r="A190" s="2">
        <v>50055</v>
      </c>
      <c r="B190" t="s">
        <v>4</v>
      </c>
      <c r="C190">
        <v>58364.46</v>
      </c>
      <c r="D190">
        <v>1096.3699999999999</v>
      </c>
      <c r="E190">
        <v>53.5</v>
      </c>
      <c r="F190">
        <v>11.14</v>
      </c>
      <c r="G190">
        <v>1161.01</v>
      </c>
      <c r="H190">
        <f t="shared" si="10"/>
        <v>2037</v>
      </c>
      <c r="I190">
        <f t="shared" si="11"/>
        <v>13928.320000000002</v>
      </c>
      <c r="J190">
        <f t="shared" si="12"/>
        <v>13222.960000000003</v>
      </c>
      <c r="K190">
        <f t="shared" si="13"/>
        <v>575.4799999999999</v>
      </c>
      <c r="L190">
        <f t="shared" si="14"/>
        <v>129.88</v>
      </c>
    </row>
    <row r="191" spans="1:12">
      <c r="A191" s="2">
        <v>50086</v>
      </c>
      <c r="B191" t="s">
        <v>4</v>
      </c>
      <c r="C191">
        <v>57268.09</v>
      </c>
      <c r="D191">
        <v>1097.3699999999999</v>
      </c>
      <c r="E191">
        <v>52.5</v>
      </c>
      <c r="F191">
        <v>11.14</v>
      </c>
      <c r="G191">
        <v>1161.01</v>
      </c>
      <c r="H191">
        <f t="shared" si="10"/>
        <v>2037</v>
      </c>
      <c r="I191">
        <f t="shared" si="11"/>
        <v>13928.320000000002</v>
      </c>
      <c r="J191">
        <f t="shared" si="12"/>
        <v>13222.960000000003</v>
      </c>
      <c r="K191">
        <f t="shared" si="13"/>
        <v>575.4799999999999</v>
      </c>
      <c r="L191">
        <f t="shared" si="14"/>
        <v>129.88</v>
      </c>
    </row>
    <row r="192" spans="1:12">
      <c r="A192" s="2">
        <v>50114</v>
      </c>
      <c r="B192" t="s">
        <v>4</v>
      </c>
      <c r="C192">
        <v>56170.720000000001</v>
      </c>
      <c r="D192">
        <v>1098.3800000000001</v>
      </c>
      <c r="E192">
        <v>51.49</v>
      </c>
      <c r="F192">
        <v>11.14</v>
      </c>
      <c r="G192">
        <v>1161.01</v>
      </c>
      <c r="H192">
        <f t="shared" si="10"/>
        <v>2037</v>
      </c>
      <c r="I192">
        <f t="shared" si="11"/>
        <v>13928.320000000002</v>
      </c>
      <c r="J192">
        <f t="shared" si="12"/>
        <v>13222.960000000003</v>
      </c>
      <c r="K192">
        <f t="shared" si="13"/>
        <v>575.4799999999999</v>
      </c>
      <c r="L192">
        <f t="shared" si="14"/>
        <v>129.88</v>
      </c>
    </row>
    <row r="193" spans="1:12">
      <c r="A193" s="2">
        <v>50145</v>
      </c>
      <c r="B193" t="s">
        <v>4</v>
      </c>
      <c r="C193">
        <v>55072.34</v>
      </c>
      <c r="D193">
        <v>1099.3900000000001</v>
      </c>
      <c r="E193">
        <v>50.48</v>
      </c>
      <c r="F193">
        <v>11.14</v>
      </c>
      <c r="G193">
        <v>1161.01</v>
      </c>
      <c r="H193">
        <f t="shared" si="10"/>
        <v>2037</v>
      </c>
      <c r="I193">
        <f t="shared" si="11"/>
        <v>13928.320000000002</v>
      </c>
      <c r="J193">
        <f t="shared" si="12"/>
        <v>13222.960000000003</v>
      </c>
      <c r="K193">
        <f t="shared" si="13"/>
        <v>575.4799999999999</v>
      </c>
      <c r="L193">
        <f t="shared" si="14"/>
        <v>129.88</v>
      </c>
    </row>
    <row r="194" spans="1:12">
      <c r="A194" s="2">
        <v>50175</v>
      </c>
      <c r="B194" t="s">
        <v>4</v>
      </c>
      <c r="C194">
        <v>53972.95</v>
      </c>
      <c r="D194">
        <v>1100.3900000000001</v>
      </c>
      <c r="E194">
        <v>49.48</v>
      </c>
      <c r="F194">
        <v>11.14</v>
      </c>
      <c r="G194">
        <v>1161.01</v>
      </c>
      <c r="H194">
        <f t="shared" si="10"/>
        <v>2037</v>
      </c>
      <c r="I194">
        <f t="shared" si="11"/>
        <v>13928.320000000002</v>
      </c>
      <c r="J194">
        <f t="shared" si="12"/>
        <v>13222.960000000003</v>
      </c>
      <c r="K194">
        <f t="shared" si="13"/>
        <v>575.4799999999999</v>
      </c>
      <c r="L194">
        <f t="shared" si="14"/>
        <v>129.88</v>
      </c>
    </row>
    <row r="195" spans="1:12">
      <c r="A195" s="2">
        <v>50206</v>
      </c>
      <c r="B195" t="s">
        <v>4</v>
      </c>
      <c r="C195">
        <v>52872.56</v>
      </c>
      <c r="D195">
        <v>1101.4000000000001</v>
      </c>
      <c r="E195">
        <v>48.47</v>
      </c>
      <c r="F195">
        <v>11.14</v>
      </c>
      <c r="G195">
        <v>1161.01</v>
      </c>
      <c r="H195">
        <f t="shared" si="10"/>
        <v>2037</v>
      </c>
      <c r="I195">
        <f t="shared" si="11"/>
        <v>13928.320000000002</v>
      </c>
      <c r="J195">
        <f t="shared" si="12"/>
        <v>13222.960000000003</v>
      </c>
      <c r="K195">
        <f t="shared" si="13"/>
        <v>575.4799999999999</v>
      </c>
      <c r="L195">
        <f t="shared" si="14"/>
        <v>129.88</v>
      </c>
    </row>
    <row r="196" spans="1:12">
      <c r="A196" s="2">
        <v>50236</v>
      </c>
      <c r="B196" t="s">
        <v>4</v>
      </c>
      <c r="C196">
        <v>51771.16</v>
      </c>
      <c r="D196">
        <v>1102.4100000000001</v>
      </c>
      <c r="E196">
        <v>47.46</v>
      </c>
      <c r="F196">
        <v>11.14</v>
      </c>
      <c r="G196">
        <v>1161.01</v>
      </c>
      <c r="H196">
        <f t="shared" si="10"/>
        <v>2037</v>
      </c>
      <c r="I196">
        <f t="shared" si="11"/>
        <v>13928.320000000002</v>
      </c>
      <c r="J196">
        <f t="shared" si="12"/>
        <v>13222.960000000003</v>
      </c>
      <c r="K196">
        <f t="shared" si="13"/>
        <v>575.4799999999999</v>
      </c>
      <c r="L196">
        <f t="shared" si="14"/>
        <v>129.88</v>
      </c>
    </row>
    <row r="197" spans="1:12">
      <c r="A197" s="2">
        <v>50267</v>
      </c>
      <c r="B197" t="s">
        <v>4</v>
      </c>
      <c r="C197">
        <v>50668.75</v>
      </c>
      <c r="D197">
        <v>1103.42</v>
      </c>
      <c r="E197">
        <v>46.45</v>
      </c>
      <c r="F197">
        <v>11.14</v>
      </c>
      <c r="G197">
        <v>1161.01</v>
      </c>
      <c r="H197">
        <f t="shared" si="10"/>
        <v>2037</v>
      </c>
      <c r="I197">
        <f t="shared" si="11"/>
        <v>13928.320000000002</v>
      </c>
      <c r="J197">
        <f t="shared" si="12"/>
        <v>13222.960000000003</v>
      </c>
      <c r="K197">
        <f t="shared" si="13"/>
        <v>575.4799999999999</v>
      </c>
      <c r="L197">
        <f t="shared" si="14"/>
        <v>129.88</v>
      </c>
    </row>
    <row r="198" spans="1:12">
      <c r="A198" s="2">
        <v>50298</v>
      </c>
      <c r="B198" t="s">
        <v>4</v>
      </c>
      <c r="C198">
        <v>49565.33</v>
      </c>
      <c r="D198">
        <v>1104.44</v>
      </c>
      <c r="E198">
        <v>45.43</v>
      </c>
      <c r="F198">
        <v>11.14</v>
      </c>
      <c r="G198">
        <v>1161.01</v>
      </c>
      <c r="H198">
        <f t="shared" si="10"/>
        <v>2037</v>
      </c>
      <c r="I198">
        <f t="shared" si="11"/>
        <v>13928.320000000002</v>
      </c>
      <c r="J198">
        <f t="shared" si="12"/>
        <v>13222.960000000003</v>
      </c>
      <c r="K198">
        <f t="shared" si="13"/>
        <v>575.4799999999999</v>
      </c>
      <c r="L198">
        <f t="shared" si="14"/>
        <v>129.88</v>
      </c>
    </row>
    <row r="199" spans="1:12">
      <c r="A199" s="2">
        <v>50328</v>
      </c>
      <c r="B199" t="s">
        <v>4</v>
      </c>
      <c r="C199">
        <v>48460.89</v>
      </c>
      <c r="D199">
        <v>1105.45</v>
      </c>
      <c r="E199">
        <v>44.42</v>
      </c>
      <c r="F199">
        <v>11.14</v>
      </c>
      <c r="G199">
        <v>1161.01</v>
      </c>
      <c r="H199">
        <f t="shared" si="10"/>
        <v>2037</v>
      </c>
      <c r="I199">
        <f t="shared" si="11"/>
        <v>13928.320000000002</v>
      </c>
      <c r="J199">
        <f t="shared" si="12"/>
        <v>13222.960000000003</v>
      </c>
      <c r="K199">
        <f t="shared" si="13"/>
        <v>575.4799999999999</v>
      </c>
      <c r="L199">
        <f t="shared" si="14"/>
        <v>129.88</v>
      </c>
    </row>
    <row r="200" spans="1:12">
      <c r="A200" s="2">
        <v>50359</v>
      </c>
      <c r="B200" t="s">
        <v>4</v>
      </c>
      <c r="C200">
        <v>47355.44</v>
      </c>
      <c r="D200">
        <v>1106.46</v>
      </c>
      <c r="E200">
        <v>43.41</v>
      </c>
      <c r="F200">
        <v>9.24</v>
      </c>
      <c r="G200">
        <v>1159.1099999999999</v>
      </c>
      <c r="H200">
        <f t="shared" si="10"/>
        <v>2037</v>
      </c>
      <c r="I200">
        <f t="shared" si="11"/>
        <v>13928.320000000002</v>
      </c>
      <c r="J200">
        <f t="shared" si="12"/>
        <v>13222.960000000003</v>
      </c>
      <c r="K200">
        <f t="shared" si="13"/>
        <v>575.4799999999999</v>
      </c>
      <c r="L200">
        <f t="shared" si="14"/>
        <v>129.88</v>
      </c>
    </row>
    <row r="201" spans="1:12">
      <c r="A201" s="2">
        <v>50389</v>
      </c>
      <c r="B201" t="s">
        <v>4</v>
      </c>
      <c r="C201">
        <v>46248.98</v>
      </c>
      <c r="D201">
        <v>1107.48</v>
      </c>
      <c r="E201">
        <v>42.39</v>
      </c>
      <c r="F201">
        <v>9.24</v>
      </c>
      <c r="G201">
        <v>1159.1099999999999</v>
      </c>
      <c r="H201">
        <f t="shared" ref="H201:H241" si="15">YEAR(A201)</f>
        <v>2037</v>
      </c>
      <c r="I201">
        <f t="shared" ref="I201:I241" si="16">SUMIF(H:H,H201,G:G)</f>
        <v>13928.320000000002</v>
      </c>
      <c r="J201">
        <f t="shared" ref="J201:J241" si="17">SUMIF(H:H,H201,D:D)</f>
        <v>13222.960000000003</v>
      </c>
      <c r="K201">
        <f t="shared" ref="K201:K241" si="18">SUMIF(H:H,H201,E:E)</f>
        <v>575.4799999999999</v>
      </c>
      <c r="L201">
        <f t="shared" ref="L201:L241" si="19">SUMIF(H:H,H201,F:F)</f>
        <v>129.88</v>
      </c>
    </row>
    <row r="202" spans="1:12">
      <c r="A202" s="2">
        <v>50420</v>
      </c>
      <c r="B202" t="s">
        <v>4</v>
      </c>
      <c r="C202">
        <v>45141.5</v>
      </c>
      <c r="D202">
        <v>1108.49</v>
      </c>
      <c r="E202">
        <v>41.38</v>
      </c>
      <c r="F202">
        <v>9.24</v>
      </c>
      <c r="G202">
        <v>1159.1099999999999</v>
      </c>
      <c r="H202">
        <f t="shared" si="15"/>
        <v>2038</v>
      </c>
      <c r="I202">
        <f t="shared" si="16"/>
        <v>13904.94</v>
      </c>
      <c r="J202">
        <f t="shared" si="17"/>
        <v>13369.149999999998</v>
      </c>
      <c r="K202">
        <f t="shared" si="18"/>
        <v>429.28999999999996</v>
      </c>
      <c r="L202">
        <f t="shared" si="19"/>
        <v>106.49999999999999</v>
      </c>
    </row>
    <row r="203" spans="1:12">
      <c r="A203" s="2">
        <v>50451</v>
      </c>
      <c r="B203" t="s">
        <v>4</v>
      </c>
      <c r="C203">
        <v>44033.01</v>
      </c>
      <c r="D203">
        <v>1109.51</v>
      </c>
      <c r="E203">
        <v>40.36</v>
      </c>
      <c r="F203">
        <v>9.24</v>
      </c>
      <c r="G203">
        <v>1159.1099999999999</v>
      </c>
      <c r="H203">
        <f t="shared" si="15"/>
        <v>2038</v>
      </c>
      <c r="I203">
        <f t="shared" si="16"/>
        <v>13904.94</v>
      </c>
      <c r="J203">
        <f t="shared" si="17"/>
        <v>13369.149999999998</v>
      </c>
      <c r="K203">
        <f t="shared" si="18"/>
        <v>429.28999999999996</v>
      </c>
      <c r="L203">
        <f t="shared" si="19"/>
        <v>106.49999999999999</v>
      </c>
    </row>
    <row r="204" spans="1:12">
      <c r="A204" s="2">
        <v>50479</v>
      </c>
      <c r="B204" t="s">
        <v>4</v>
      </c>
      <c r="C204">
        <v>42923.5</v>
      </c>
      <c r="D204">
        <v>1110.52</v>
      </c>
      <c r="E204">
        <v>39.35</v>
      </c>
      <c r="F204">
        <v>9.24</v>
      </c>
      <c r="G204">
        <v>1159.1099999999999</v>
      </c>
      <c r="H204">
        <f t="shared" si="15"/>
        <v>2038</v>
      </c>
      <c r="I204">
        <f t="shared" si="16"/>
        <v>13904.94</v>
      </c>
      <c r="J204">
        <f t="shared" si="17"/>
        <v>13369.149999999998</v>
      </c>
      <c r="K204">
        <f t="shared" si="18"/>
        <v>429.28999999999996</v>
      </c>
      <c r="L204">
        <f t="shared" si="19"/>
        <v>106.49999999999999</v>
      </c>
    </row>
    <row r="205" spans="1:12">
      <c r="A205" s="2">
        <v>50510</v>
      </c>
      <c r="B205" t="s">
        <v>4</v>
      </c>
      <c r="C205">
        <v>41812.980000000003</v>
      </c>
      <c r="D205">
        <v>1111.54</v>
      </c>
      <c r="E205">
        <v>38.33</v>
      </c>
      <c r="F205">
        <v>9.24</v>
      </c>
      <c r="G205">
        <v>1159.1099999999999</v>
      </c>
      <c r="H205">
        <f t="shared" si="15"/>
        <v>2038</v>
      </c>
      <c r="I205">
        <f t="shared" si="16"/>
        <v>13904.94</v>
      </c>
      <c r="J205">
        <f t="shared" si="17"/>
        <v>13369.149999999998</v>
      </c>
      <c r="K205">
        <f t="shared" si="18"/>
        <v>429.28999999999996</v>
      </c>
      <c r="L205">
        <f t="shared" si="19"/>
        <v>106.49999999999999</v>
      </c>
    </row>
    <row r="206" spans="1:12">
      <c r="A206" s="2">
        <v>50540</v>
      </c>
      <c r="B206" t="s">
        <v>4</v>
      </c>
      <c r="C206">
        <v>40701.440000000002</v>
      </c>
      <c r="D206">
        <v>1112.56</v>
      </c>
      <c r="E206">
        <v>37.31</v>
      </c>
      <c r="F206">
        <v>9.24</v>
      </c>
      <c r="G206">
        <v>1159.1099999999999</v>
      </c>
      <c r="H206">
        <f t="shared" si="15"/>
        <v>2038</v>
      </c>
      <c r="I206">
        <f t="shared" si="16"/>
        <v>13904.94</v>
      </c>
      <c r="J206">
        <f t="shared" si="17"/>
        <v>13369.149999999998</v>
      </c>
      <c r="K206">
        <f t="shared" si="18"/>
        <v>429.28999999999996</v>
      </c>
      <c r="L206">
        <f t="shared" si="19"/>
        <v>106.49999999999999</v>
      </c>
    </row>
    <row r="207" spans="1:12">
      <c r="A207" s="2">
        <v>50571</v>
      </c>
      <c r="B207" t="s">
        <v>4</v>
      </c>
      <c r="C207">
        <v>39588.879999999997</v>
      </c>
      <c r="D207">
        <v>1113.58</v>
      </c>
      <c r="E207">
        <v>36.29</v>
      </c>
      <c r="F207">
        <v>9.24</v>
      </c>
      <c r="G207">
        <v>1159.1099999999999</v>
      </c>
      <c r="H207">
        <f t="shared" si="15"/>
        <v>2038</v>
      </c>
      <c r="I207">
        <f t="shared" si="16"/>
        <v>13904.94</v>
      </c>
      <c r="J207">
        <f t="shared" si="17"/>
        <v>13369.149999999998</v>
      </c>
      <c r="K207">
        <f t="shared" si="18"/>
        <v>429.28999999999996</v>
      </c>
      <c r="L207">
        <f t="shared" si="19"/>
        <v>106.49999999999999</v>
      </c>
    </row>
    <row r="208" spans="1:12">
      <c r="A208" s="2">
        <v>50601</v>
      </c>
      <c r="B208" t="s">
        <v>4</v>
      </c>
      <c r="C208">
        <v>38475.300000000003</v>
      </c>
      <c r="D208">
        <v>1114.5999999999999</v>
      </c>
      <c r="E208">
        <v>35.270000000000003</v>
      </c>
      <c r="F208">
        <v>9.24</v>
      </c>
      <c r="G208">
        <v>1159.1099999999999</v>
      </c>
      <c r="H208">
        <f t="shared" si="15"/>
        <v>2038</v>
      </c>
      <c r="I208">
        <f t="shared" si="16"/>
        <v>13904.94</v>
      </c>
      <c r="J208">
        <f t="shared" si="17"/>
        <v>13369.149999999998</v>
      </c>
      <c r="K208">
        <f t="shared" si="18"/>
        <v>429.28999999999996</v>
      </c>
      <c r="L208">
        <f t="shared" si="19"/>
        <v>106.49999999999999</v>
      </c>
    </row>
    <row r="209" spans="1:12">
      <c r="A209" s="2">
        <v>50632</v>
      </c>
      <c r="B209" t="s">
        <v>4</v>
      </c>
      <c r="C209">
        <v>37360.699999999997</v>
      </c>
      <c r="D209">
        <v>1115.6199999999999</v>
      </c>
      <c r="E209">
        <v>34.25</v>
      </c>
      <c r="F209">
        <v>9.24</v>
      </c>
      <c r="G209">
        <v>1159.1099999999999</v>
      </c>
      <c r="H209">
        <f t="shared" si="15"/>
        <v>2038</v>
      </c>
      <c r="I209">
        <f t="shared" si="16"/>
        <v>13904.94</v>
      </c>
      <c r="J209">
        <f t="shared" si="17"/>
        <v>13369.149999999998</v>
      </c>
      <c r="K209">
        <f t="shared" si="18"/>
        <v>429.28999999999996</v>
      </c>
      <c r="L209">
        <f t="shared" si="19"/>
        <v>106.49999999999999</v>
      </c>
    </row>
    <row r="210" spans="1:12">
      <c r="A210" s="2">
        <v>50663</v>
      </c>
      <c r="B210" t="s">
        <v>4</v>
      </c>
      <c r="C210">
        <v>36245.08</v>
      </c>
      <c r="D210">
        <v>1116.6500000000001</v>
      </c>
      <c r="E210">
        <v>33.22</v>
      </c>
      <c r="F210">
        <v>9.24</v>
      </c>
      <c r="G210">
        <v>1159.1099999999999</v>
      </c>
      <c r="H210">
        <f t="shared" si="15"/>
        <v>2038</v>
      </c>
      <c r="I210">
        <f t="shared" si="16"/>
        <v>13904.94</v>
      </c>
      <c r="J210">
        <f t="shared" si="17"/>
        <v>13369.149999999998</v>
      </c>
      <c r="K210">
        <f t="shared" si="18"/>
        <v>429.28999999999996</v>
      </c>
      <c r="L210">
        <f t="shared" si="19"/>
        <v>106.49999999999999</v>
      </c>
    </row>
    <row r="211" spans="1:12">
      <c r="A211" s="2">
        <v>50693</v>
      </c>
      <c r="B211" t="s">
        <v>4</v>
      </c>
      <c r="C211">
        <v>35128.43</v>
      </c>
      <c r="D211">
        <v>1117.67</v>
      </c>
      <c r="E211">
        <v>32.200000000000003</v>
      </c>
      <c r="F211">
        <v>9.24</v>
      </c>
      <c r="G211">
        <v>1159.1099999999999</v>
      </c>
      <c r="H211">
        <f t="shared" si="15"/>
        <v>2038</v>
      </c>
      <c r="I211">
        <f t="shared" si="16"/>
        <v>13904.94</v>
      </c>
      <c r="J211">
        <f t="shared" si="17"/>
        <v>13369.149999999998</v>
      </c>
      <c r="K211">
        <f t="shared" si="18"/>
        <v>429.28999999999996</v>
      </c>
      <c r="L211">
        <f t="shared" si="19"/>
        <v>106.49999999999999</v>
      </c>
    </row>
    <row r="212" spans="1:12">
      <c r="A212" s="2">
        <v>50724</v>
      </c>
      <c r="B212" t="s">
        <v>4</v>
      </c>
      <c r="C212">
        <v>34010.76</v>
      </c>
      <c r="D212">
        <v>1118.69</v>
      </c>
      <c r="E212">
        <v>31.18</v>
      </c>
      <c r="F212">
        <v>7.05</v>
      </c>
      <c r="G212">
        <v>1156.92</v>
      </c>
      <c r="H212">
        <f t="shared" si="15"/>
        <v>2038</v>
      </c>
      <c r="I212">
        <f t="shared" si="16"/>
        <v>13904.94</v>
      </c>
      <c r="J212">
        <f t="shared" si="17"/>
        <v>13369.149999999998</v>
      </c>
      <c r="K212">
        <f t="shared" si="18"/>
        <v>429.28999999999996</v>
      </c>
      <c r="L212">
        <f t="shared" si="19"/>
        <v>106.49999999999999</v>
      </c>
    </row>
    <row r="213" spans="1:12">
      <c r="A213" s="2">
        <v>50754</v>
      </c>
      <c r="B213" t="s">
        <v>4</v>
      </c>
      <c r="C213">
        <v>32892.07</v>
      </c>
      <c r="D213">
        <v>1119.72</v>
      </c>
      <c r="E213">
        <v>30.15</v>
      </c>
      <c r="F213">
        <v>7.05</v>
      </c>
      <c r="G213">
        <v>1156.92</v>
      </c>
      <c r="H213">
        <f t="shared" si="15"/>
        <v>2038</v>
      </c>
      <c r="I213">
        <f t="shared" si="16"/>
        <v>13904.94</v>
      </c>
      <c r="J213">
        <f t="shared" si="17"/>
        <v>13369.149999999998</v>
      </c>
      <c r="K213">
        <f t="shared" si="18"/>
        <v>429.28999999999996</v>
      </c>
      <c r="L213">
        <f t="shared" si="19"/>
        <v>106.49999999999999</v>
      </c>
    </row>
    <row r="214" spans="1:12">
      <c r="A214" s="2">
        <v>50785</v>
      </c>
      <c r="B214" t="s">
        <v>4</v>
      </c>
      <c r="C214">
        <v>31772.35</v>
      </c>
      <c r="D214">
        <v>1120.75</v>
      </c>
      <c r="E214">
        <v>29.12</v>
      </c>
      <c r="F214">
        <v>7.05</v>
      </c>
      <c r="G214">
        <v>1156.92</v>
      </c>
      <c r="H214">
        <f t="shared" si="15"/>
        <v>2039</v>
      </c>
      <c r="I214">
        <f t="shared" si="16"/>
        <v>13878</v>
      </c>
      <c r="J214">
        <f t="shared" si="17"/>
        <v>13516.96</v>
      </c>
      <c r="K214">
        <f t="shared" si="18"/>
        <v>281.4799999999999</v>
      </c>
      <c r="L214">
        <f t="shared" si="19"/>
        <v>79.559999999999988</v>
      </c>
    </row>
    <row r="215" spans="1:12">
      <c r="A215" s="2">
        <v>50816</v>
      </c>
      <c r="B215" t="s">
        <v>4</v>
      </c>
      <c r="C215">
        <v>30651.599999999999</v>
      </c>
      <c r="D215">
        <v>1121.77</v>
      </c>
      <c r="E215">
        <v>28.1</v>
      </c>
      <c r="F215">
        <v>7.05</v>
      </c>
      <c r="G215">
        <v>1156.92</v>
      </c>
      <c r="H215">
        <f t="shared" si="15"/>
        <v>2039</v>
      </c>
      <c r="I215">
        <f t="shared" si="16"/>
        <v>13878</v>
      </c>
      <c r="J215">
        <f t="shared" si="17"/>
        <v>13516.96</v>
      </c>
      <c r="K215">
        <f t="shared" si="18"/>
        <v>281.4799999999999</v>
      </c>
      <c r="L215">
        <f t="shared" si="19"/>
        <v>79.559999999999988</v>
      </c>
    </row>
    <row r="216" spans="1:12">
      <c r="A216" s="2">
        <v>50844</v>
      </c>
      <c r="B216" t="s">
        <v>4</v>
      </c>
      <c r="C216">
        <v>29529.83</v>
      </c>
      <c r="D216">
        <v>1122.8</v>
      </c>
      <c r="E216">
        <v>27.07</v>
      </c>
      <c r="F216">
        <v>7.05</v>
      </c>
      <c r="G216">
        <v>1156.92</v>
      </c>
      <c r="H216">
        <f t="shared" si="15"/>
        <v>2039</v>
      </c>
      <c r="I216">
        <f t="shared" si="16"/>
        <v>13878</v>
      </c>
      <c r="J216">
        <f t="shared" si="17"/>
        <v>13516.96</v>
      </c>
      <c r="K216">
        <f t="shared" si="18"/>
        <v>281.4799999999999</v>
      </c>
      <c r="L216">
        <f t="shared" si="19"/>
        <v>79.559999999999988</v>
      </c>
    </row>
    <row r="217" spans="1:12">
      <c r="A217" s="2">
        <v>50875</v>
      </c>
      <c r="B217" t="s">
        <v>4</v>
      </c>
      <c r="C217">
        <v>28407.03</v>
      </c>
      <c r="D217">
        <v>1123.83</v>
      </c>
      <c r="E217">
        <v>26.04</v>
      </c>
      <c r="F217">
        <v>7.05</v>
      </c>
      <c r="G217">
        <v>1156.92</v>
      </c>
      <c r="H217">
        <f t="shared" si="15"/>
        <v>2039</v>
      </c>
      <c r="I217">
        <f t="shared" si="16"/>
        <v>13878</v>
      </c>
      <c r="J217">
        <f t="shared" si="17"/>
        <v>13516.96</v>
      </c>
      <c r="K217">
        <f t="shared" si="18"/>
        <v>281.4799999999999</v>
      </c>
      <c r="L217">
        <f t="shared" si="19"/>
        <v>79.559999999999988</v>
      </c>
    </row>
    <row r="218" spans="1:12">
      <c r="A218" s="2">
        <v>50905</v>
      </c>
      <c r="B218" t="s">
        <v>4</v>
      </c>
      <c r="C218">
        <v>27283.200000000001</v>
      </c>
      <c r="D218">
        <v>1124.8599999999999</v>
      </c>
      <c r="E218">
        <v>25.01</v>
      </c>
      <c r="F218">
        <v>7.05</v>
      </c>
      <c r="G218">
        <v>1156.92</v>
      </c>
      <c r="H218">
        <f t="shared" si="15"/>
        <v>2039</v>
      </c>
      <c r="I218">
        <f t="shared" si="16"/>
        <v>13878</v>
      </c>
      <c r="J218">
        <f t="shared" si="17"/>
        <v>13516.96</v>
      </c>
      <c r="K218">
        <f t="shared" si="18"/>
        <v>281.4799999999999</v>
      </c>
      <c r="L218">
        <f t="shared" si="19"/>
        <v>79.559999999999988</v>
      </c>
    </row>
    <row r="219" spans="1:12">
      <c r="A219" s="2">
        <v>50936</v>
      </c>
      <c r="B219" t="s">
        <v>4</v>
      </c>
      <c r="C219">
        <v>26158.34</v>
      </c>
      <c r="D219">
        <v>1125.8900000000001</v>
      </c>
      <c r="E219">
        <v>23.98</v>
      </c>
      <c r="F219">
        <v>7.05</v>
      </c>
      <c r="G219">
        <v>1156.92</v>
      </c>
      <c r="H219">
        <f t="shared" si="15"/>
        <v>2039</v>
      </c>
      <c r="I219">
        <f t="shared" si="16"/>
        <v>13878</v>
      </c>
      <c r="J219">
        <f t="shared" si="17"/>
        <v>13516.96</v>
      </c>
      <c r="K219">
        <f t="shared" si="18"/>
        <v>281.4799999999999</v>
      </c>
      <c r="L219">
        <f t="shared" si="19"/>
        <v>79.559999999999988</v>
      </c>
    </row>
    <row r="220" spans="1:12">
      <c r="A220" s="2">
        <v>50966</v>
      </c>
      <c r="B220" t="s">
        <v>4</v>
      </c>
      <c r="C220">
        <v>25032.45</v>
      </c>
      <c r="D220">
        <v>1126.92</v>
      </c>
      <c r="E220">
        <v>22.95</v>
      </c>
      <c r="F220">
        <v>7.05</v>
      </c>
      <c r="G220">
        <v>1156.92</v>
      </c>
      <c r="H220">
        <f t="shared" si="15"/>
        <v>2039</v>
      </c>
      <c r="I220">
        <f t="shared" si="16"/>
        <v>13878</v>
      </c>
      <c r="J220">
        <f t="shared" si="17"/>
        <v>13516.96</v>
      </c>
      <c r="K220">
        <f t="shared" si="18"/>
        <v>281.4799999999999</v>
      </c>
      <c r="L220">
        <f t="shared" si="19"/>
        <v>79.559999999999988</v>
      </c>
    </row>
    <row r="221" spans="1:12">
      <c r="A221" s="2">
        <v>50997</v>
      </c>
      <c r="B221" t="s">
        <v>4</v>
      </c>
      <c r="C221">
        <v>23905.53</v>
      </c>
      <c r="D221">
        <v>1127.96</v>
      </c>
      <c r="E221">
        <v>21.91</v>
      </c>
      <c r="F221">
        <v>7.05</v>
      </c>
      <c r="G221">
        <v>1156.92</v>
      </c>
      <c r="H221">
        <f t="shared" si="15"/>
        <v>2039</v>
      </c>
      <c r="I221">
        <f t="shared" si="16"/>
        <v>13878</v>
      </c>
      <c r="J221">
        <f t="shared" si="17"/>
        <v>13516.96</v>
      </c>
      <c r="K221">
        <f t="shared" si="18"/>
        <v>281.4799999999999</v>
      </c>
      <c r="L221">
        <f t="shared" si="19"/>
        <v>79.559999999999988</v>
      </c>
    </row>
    <row r="222" spans="1:12">
      <c r="A222" s="2">
        <v>51028</v>
      </c>
      <c r="B222" t="s">
        <v>4</v>
      </c>
      <c r="C222">
        <v>22777.57</v>
      </c>
      <c r="D222">
        <v>1128.99</v>
      </c>
      <c r="E222">
        <v>20.88</v>
      </c>
      <c r="F222">
        <v>7.05</v>
      </c>
      <c r="G222">
        <v>1156.92</v>
      </c>
      <c r="H222">
        <f t="shared" si="15"/>
        <v>2039</v>
      </c>
      <c r="I222">
        <f t="shared" si="16"/>
        <v>13878</v>
      </c>
      <c r="J222">
        <f t="shared" si="17"/>
        <v>13516.96</v>
      </c>
      <c r="K222">
        <f t="shared" si="18"/>
        <v>281.4799999999999</v>
      </c>
      <c r="L222">
        <f t="shared" si="19"/>
        <v>79.559999999999988</v>
      </c>
    </row>
    <row r="223" spans="1:12">
      <c r="A223" s="2">
        <v>51058</v>
      </c>
      <c r="B223" t="s">
        <v>4</v>
      </c>
      <c r="C223">
        <v>21648.58</v>
      </c>
      <c r="D223">
        <v>1130.03</v>
      </c>
      <c r="E223">
        <v>19.84</v>
      </c>
      <c r="F223">
        <v>7.05</v>
      </c>
      <c r="G223">
        <v>1156.92</v>
      </c>
      <c r="H223">
        <f t="shared" si="15"/>
        <v>2039</v>
      </c>
      <c r="I223">
        <f t="shared" si="16"/>
        <v>13878</v>
      </c>
      <c r="J223">
        <f t="shared" si="17"/>
        <v>13516.96</v>
      </c>
      <c r="K223">
        <f t="shared" si="18"/>
        <v>281.4799999999999</v>
      </c>
      <c r="L223">
        <f t="shared" si="19"/>
        <v>79.559999999999988</v>
      </c>
    </row>
    <row r="224" spans="1:12">
      <c r="A224" s="2">
        <v>51089</v>
      </c>
      <c r="B224" t="s">
        <v>4</v>
      </c>
      <c r="C224">
        <v>20518.55</v>
      </c>
      <c r="D224">
        <v>1131.06</v>
      </c>
      <c r="E224">
        <v>18.809999999999999</v>
      </c>
      <c r="F224">
        <v>4.53</v>
      </c>
      <c r="G224">
        <v>1154.4000000000001</v>
      </c>
      <c r="H224">
        <f t="shared" si="15"/>
        <v>2039</v>
      </c>
      <c r="I224">
        <f t="shared" si="16"/>
        <v>13878</v>
      </c>
      <c r="J224">
        <f t="shared" si="17"/>
        <v>13516.96</v>
      </c>
      <c r="K224">
        <f t="shared" si="18"/>
        <v>281.4799999999999</v>
      </c>
      <c r="L224">
        <f t="shared" si="19"/>
        <v>79.559999999999988</v>
      </c>
    </row>
    <row r="225" spans="1:12">
      <c r="A225" s="2">
        <v>51119</v>
      </c>
      <c r="B225" t="s">
        <v>4</v>
      </c>
      <c r="C225">
        <v>19387.490000000002</v>
      </c>
      <c r="D225">
        <v>1132.0999999999999</v>
      </c>
      <c r="E225">
        <v>17.77</v>
      </c>
      <c r="F225">
        <v>4.53</v>
      </c>
      <c r="G225">
        <v>1154.4000000000001</v>
      </c>
      <c r="H225">
        <f t="shared" si="15"/>
        <v>2039</v>
      </c>
      <c r="I225">
        <f t="shared" si="16"/>
        <v>13878</v>
      </c>
      <c r="J225">
        <f t="shared" si="17"/>
        <v>13516.96</v>
      </c>
      <c r="K225">
        <f t="shared" si="18"/>
        <v>281.4799999999999</v>
      </c>
      <c r="L225">
        <f t="shared" si="19"/>
        <v>79.559999999999988</v>
      </c>
    </row>
    <row r="226" spans="1:12">
      <c r="A226" s="2">
        <v>51150</v>
      </c>
      <c r="B226" t="s">
        <v>4</v>
      </c>
      <c r="C226">
        <v>18255.39</v>
      </c>
      <c r="D226">
        <v>1133.1400000000001</v>
      </c>
      <c r="E226">
        <v>16.73</v>
      </c>
      <c r="F226">
        <v>4.53</v>
      </c>
      <c r="G226">
        <v>1154.4000000000001</v>
      </c>
      <c r="H226">
        <f t="shared" si="15"/>
        <v>2040</v>
      </c>
      <c r="I226">
        <f t="shared" si="16"/>
        <v>13846.979999999998</v>
      </c>
      <c r="J226">
        <f t="shared" si="17"/>
        <v>13666.390000000001</v>
      </c>
      <c r="K226">
        <f t="shared" si="18"/>
        <v>132.04999999999998</v>
      </c>
      <c r="L226">
        <f t="shared" si="19"/>
        <v>48.54</v>
      </c>
    </row>
    <row r="227" spans="1:12">
      <c r="A227" s="2">
        <v>51181</v>
      </c>
      <c r="B227" t="s">
        <v>4</v>
      </c>
      <c r="C227">
        <v>17122.25</v>
      </c>
      <c r="D227">
        <v>1134.17</v>
      </c>
      <c r="E227">
        <v>15.7</v>
      </c>
      <c r="F227">
        <v>4.53</v>
      </c>
      <c r="G227">
        <v>1154.4000000000001</v>
      </c>
      <c r="H227">
        <f t="shared" si="15"/>
        <v>2040</v>
      </c>
      <c r="I227">
        <f t="shared" si="16"/>
        <v>13846.979999999998</v>
      </c>
      <c r="J227">
        <f t="shared" si="17"/>
        <v>13666.390000000001</v>
      </c>
      <c r="K227">
        <f t="shared" si="18"/>
        <v>132.04999999999998</v>
      </c>
      <c r="L227">
        <f t="shared" si="19"/>
        <v>48.54</v>
      </c>
    </row>
    <row r="228" spans="1:12">
      <c r="A228" s="2">
        <v>51210</v>
      </c>
      <c r="B228" t="s">
        <v>4</v>
      </c>
      <c r="C228">
        <v>15988.08</v>
      </c>
      <c r="D228">
        <v>1135.21</v>
      </c>
      <c r="E228">
        <v>14.66</v>
      </c>
      <c r="F228">
        <v>4.53</v>
      </c>
      <c r="G228">
        <v>1154.4000000000001</v>
      </c>
      <c r="H228">
        <f t="shared" si="15"/>
        <v>2040</v>
      </c>
      <c r="I228">
        <f t="shared" si="16"/>
        <v>13846.979999999998</v>
      </c>
      <c r="J228">
        <f t="shared" si="17"/>
        <v>13666.390000000001</v>
      </c>
      <c r="K228">
        <f t="shared" si="18"/>
        <v>132.04999999999998</v>
      </c>
      <c r="L228">
        <f t="shared" si="19"/>
        <v>48.54</v>
      </c>
    </row>
    <row r="229" spans="1:12">
      <c r="A229" s="2">
        <v>51241</v>
      </c>
      <c r="B229" t="s">
        <v>4</v>
      </c>
      <c r="C229">
        <v>14852.87</v>
      </c>
      <c r="D229">
        <v>1136.25</v>
      </c>
      <c r="E229">
        <v>13.62</v>
      </c>
      <c r="F229">
        <v>4.53</v>
      </c>
      <c r="G229">
        <v>1154.4000000000001</v>
      </c>
      <c r="H229">
        <f t="shared" si="15"/>
        <v>2040</v>
      </c>
      <c r="I229">
        <f t="shared" si="16"/>
        <v>13846.979999999998</v>
      </c>
      <c r="J229">
        <f t="shared" si="17"/>
        <v>13666.390000000001</v>
      </c>
      <c r="K229">
        <f t="shared" si="18"/>
        <v>132.04999999999998</v>
      </c>
      <c r="L229">
        <f t="shared" si="19"/>
        <v>48.54</v>
      </c>
    </row>
    <row r="230" spans="1:12">
      <c r="A230" s="2">
        <v>51271</v>
      </c>
      <c r="B230" t="s">
        <v>4</v>
      </c>
      <c r="C230">
        <v>13716.62</v>
      </c>
      <c r="D230">
        <v>1137.3</v>
      </c>
      <c r="E230">
        <v>12.57</v>
      </c>
      <c r="F230">
        <v>4.53</v>
      </c>
      <c r="G230">
        <v>1154.4000000000001</v>
      </c>
      <c r="H230">
        <f t="shared" si="15"/>
        <v>2040</v>
      </c>
      <c r="I230">
        <f t="shared" si="16"/>
        <v>13846.979999999998</v>
      </c>
      <c r="J230">
        <f t="shared" si="17"/>
        <v>13666.390000000001</v>
      </c>
      <c r="K230">
        <f t="shared" si="18"/>
        <v>132.04999999999998</v>
      </c>
      <c r="L230">
        <f t="shared" si="19"/>
        <v>48.54</v>
      </c>
    </row>
    <row r="231" spans="1:12">
      <c r="A231" s="2">
        <v>51302</v>
      </c>
      <c r="B231" t="s">
        <v>4</v>
      </c>
      <c r="C231">
        <v>12579.32</v>
      </c>
      <c r="D231">
        <v>1138.3399999999999</v>
      </c>
      <c r="E231">
        <v>11.53</v>
      </c>
      <c r="F231">
        <v>4.53</v>
      </c>
      <c r="G231">
        <v>1154.4000000000001</v>
      </c>
      <c r="H231">
        <f t="shared" si="15"/>
        <v>2040</v>
      </c>
      <c r="I231">
        <f t="shared" si="16"/>
        <v>13846.979999999998</v>
      </c>
      <c r="J231">
        <f t="shared" si="17"/>
        <v>13666.390000000001</v>
      </c>
      <c r="K231">
        <f t="shared" si="18"/>
        <v>132.04999999999998</v>
      </c>
      <c r="L231">
        <f t="shared" si="19"/>
        <v>48.54</v>
      </c>
    </row>
    <row r="232" spans="1:12">
      <c r="A232" s="2">
        <v>51332</v>
      </c>
      <c r="B232" t="s">
        <v>4</v>
      </c>
      <c r="C232">
        <v>11440.98</v>
      </c>
      <c r="D232">
        <v>1139.3800000000001</v>
      </c>
      <c r="E232">
        <v>10.49</v>
      </c>
      <c r="F232">
        <v>4.53</v>
      </c>
      <c r="G232">
        <v>1154.4000000000001</v>
      </c>
      <c r="H232">
        <f t="shared" si="15"/>
        <v>2040</v>
      </c>
      <c r="I232">
        <f t="shared" si="16"/>
        <v>13846.979999999998</v>
      </c>
      <c r="J232">
        <f t="shared" si="17"/>
        <v>13666.390000000001</v>
      </c>
      <c r="K232">
        <f t="shared" si="18"/>
        <v>132.04999999999998</v>
      </c>
      <c r="L232">
        <f t="shared" si="19"/>
        <v>48.54</v>
      </c>
    </row>
    <row r="233" spans="1:12">
      <c r="A233" s="2">
        <v>51363</v>
      </c>
      <c r="B233" t="s">
        <v>4</v>
      </c>
      <c r="C233">
        <v>10301.6</v>
      </c>
      <c r="D233">
        <v>1140.43</v>
      </c>
      <c r="E233">
        <v>9.44</v>
      </c>
      <c r="F233">
        <v>4.53</v>
      </c>
      <c r="G233">
        <v>1154.4000000000001</v>
      </c>
      <c r="H233">
        <f t="shared" si="15"/>
        <v>2040</v>
      </c>
      <c r="I233">
        <f t="shared" si="16"/>
        <v>13846.979999999998</v>
      </c>
      <c r="J233">
        <f t="shared" si="17"/>
        <v>13666.390000000001</v>
      </c>
      <c r="K233">
        <f t="shared" si="18"/>
        <v>132.04999999999998</v>
      </c>
      <c r="L233">
        <f t="shared" si="19"/>
        <v>48.54</v>
      </c>
    </row>
    <row r="234" spans="1:12">
      <c r="A234" s="2">
        <v>51394</v>
      </c>
      <c r="B234" t="s">
        <v>4</v>
      </c>
      <c r="C234">
        <v>9161.17</v>
      </c>
      <c r="D234">
        <v>1141.47</v>
      </c>
      <c r="E234">
        <v>8.4</v>
      </c>
      <c r="F234">
        <v>4.53</v>
      </c>
      <c r="G234">
        <v>1154.4000000000001</v>
      </c>
      <c r="H234">
        <f t="shared" si="15"/>
        <v>2040</v>
      </c>
      <c r="I234">
        <f t="shared" si="16"/>
        <v>13846.979999999998</v>
      </c>
      <c r="J234">
        <f t="shared" si="17"/>
        <v>13666.390000000001</v>
      </c>
      <c r="K234">
        <f t="shared" si="18"/>
        <v>132.04999999999998</v>
      </c>
      <c r="L234">
        <f t="shared" si="19"/>
        <v>48.54</v>
      </c>
    </row>
    <row r="235" spans="1:12">
      <c r="A235" s="2">
        <v>51424</v>
      </c>
      <c r="B235" t="s">
        <v>4</v>
      </c>
      <c r="C235">
        <v>8019.7</v>
      </c>
      <c r="D235">
        <v>1142.52</v>
      </c>
      <c r="E235">
        <v>7.35</v>
      </c>
      <c r="F235">
        <v>4.53</v>
      </c>
      <c r="G235">
        <v>1154.4000000000001</v>
      </c>
      <c r="H235">
        <f t="shared" si="15"/>
        <v>2040</v>
      </c>
      <c r="I235">
        <f t="shared" si="16"/>
        <v>13846.979999999998</v>
      </c>
      <c r="J235">
        <f t="shared" si="17"/>
        <v>13666.390000000001</v>
      </c>
      <c r="K235">
        <f t="shared" si="18"/>
        <v>132.04999999999998</v>
      </c>
      <c r="L235">
        <f t="shared" si="19"/>
        <v>48.54</v>
      </c>
    </row>
    <row r="236" spans="1:12">
      <c r="A236" s="2">
        <v>51455</v>
      </c>
      <c r="B236" t="s">
        <v>4</v>
      </c>
      <c r="C236">
        <v>6877.18</v>
      </c>
      <c r="D236">
        <v>1143.57</v>
      </c>
      <c r="E236">
        <v>6.3</v>
      </c>
      <c r="F236">
        <v>1.62</v>
      </c>
      <c r="G236">
        <v>1151.49</v>
      </c>
      <c r="H236">
        <f t="shared" si="15"/>
        <v>2040</v>
      </c>
      <c r="I236">
        <f t="shared" si="16"/>
        <v>13846.979999999998</v>
      </c>
      <c r="J236">
        <f t="shared" si="17"/>
        <v>13666.390000000001</v>
      </c>
      <c r="K236">
        <f t="shared" si="18"/>
        <v>132.04999999999998</v>
      </c>
      <c r="L236">
        <f t="shared" si="19"/>
        <v>48.54</v>
      </c>
    </row>
    <row r="237" spans="1:12">
      <c r="A237" s="2">
        <v>51485</v>
      </c>
      <c r="B237" t="s">
        <v>4</v>
      </c>
      <c r="C237">
        <v>5733.61</v>
      </c>
      <c r="D237">
        <v>1144.6099999999999</v>
      </c>
      <c r="E237">
        <v>5.26</v>
      </c>
      <c r="F237">
        <v>1.62</v>
      </c>
      <c r="G237">
        <v>1151.49</v>
      </c>
      <c r="H237">
        <f t="shared" si="15"/>
        <v>2040</v>
      </c>
      <c r="I237">
        <f t="shared" si="16"/>
        <v>13846.979999999998</v>
      </c>
      <c r="J237">
        <f t="shared" si="17"/>
        <v>13666.390000000001</v>
      </c>
      <c r="K237">
        <f t="shared" si="18"/>
        <v>132.04999999999998</v>
      </c>
      <c r="L237">
        <f t="shared" si="19"/>
        <v>48.54</v>
      </c>
    </row>
    <row r="238" spans="1:12">
      <c r="A238" s="2">
        <v>51516</v>
      </c>
      <c r="B238" t="s">
        <v>4</v>
      </c>
      <c r="C238">
        <v>4589</v>
      </c>
      <c r="D238">
        <v>1145.6600000000001</v>
      </c>
      <c r="E238">
        <v>4.21</v>
      </c>
      <c r="F238">
        <v>1.62</v>
      </c>
      <c r="G238">
        <v>1151.49</v>
      </c>
      <c r="H238">
        <f t="shared" si="15"/>
        <v>2041</v>
      </c>
      <c r="I238">
        <f t="shared" si="16"/>
        <v>4606.01</v>
      </c>
      <c r="J238">
        <f t="shared" si="17"/>
        <v>4589</v>
      </c>
      <c r="K238">
        <f t="shared" si="18"/>
        <v>10.530000000000001</v>
      </c>
      <c r="L238">
        <f t="shared" si="19"/>
        <v>6.48</v>
      </c>
    </row>
    <row r="239" spans="1:12">
      <c r="A239" s="2">
        <v>51547</v>
      </c>
      <c r="B239" t="s">
        <v>4</v>
      </c>
      <c r="C239">
        <v>3443.34</v>
      </c>
      <c r="D239">
        <v>1146.71</v>
      </c>
      <c r="E239">
        <v>3.16</v>
      </c>
      <c r="F239">
        <v>1.62</v>
      </c>
      <c r="G239">
        <v>1151.49</v>
      </c>
      <c r="H239">
        <f t="shared" si="15"/>
        <v>2041</v>
      </c>
      <c r="I239">
        <f t="shared" si="16"/>
        <v>4606.01</v>
      </c>
      <c r="J239">
        <f t="shared" si="17"/>
        <v>4589</v>
      </c>
      <c r="K239">
        <f t="shared" si="18"/>
        <v>10.530000000000001</v>
      </c>
      <c r="L239">
        <f t="shared" si="19"/>
        <v>6.48</v>
      </c>
    </row>
    <row r="240" spans="1:12">
      <c r="A240" s="2">
        <v>51575</v>
      </c>
      <c r="B240" t="s">
        <v>4</v>
      </c>
      <c r="C240">
        <v>2296.63</v>
      </c>
      <c r="D240">
        <v>1147.76</v>
      </c>
      <c r="E240">
        <v>2.11</v>
      </c>
      <c r="F240">
        <v>1.62</v>
      </c>
      <c r="G240">
        <v>1151.49</v>
      </c>
      <c r="H240">
        <f t="shared" si="15"/>
        <v>2041</v>
      </c>
      <c r="I240">
        <f t="shared" si="16"/>
        <v>4606.01</v>
      </c>
      <c r="J240">
        <f t="shared" si="17"/>
        <v>4589</v>
      </c>
      <c r="K240">
        <f t="shared" si="18"/>
        <v>10.530000000000001</v>
      </c>
      <c r="L240">
        <f t="shared" si="19"/>
        <v>6.48</v>
      </c>
    </row>
    <row r="241" spans="1:12">
      <c r="A241" s="2">
        <v>51606</v>
      </c>
      <c r="B241" t="s">
        <v>4</v>
      </c>
      <c r="C241">
        <v>1148.8699999999999</v>
      </c>
      <c r="D241">
        <v>1148.8699999999999</v>
      </c>
      <c r="E241">
        <v>1.05</v>
      </c>
      <c r="F241">
        <v>1.62</v>
      </c>
      <c r="G241">
        <v>1151.54</v>
      </c>
      <c r="H241">
        <f t="shared" si="15"/>
        <v>2041</v>
      </c>
      <c r="I241">
        <f t="shared" si="16"/>
        <v>4606.01</v>
      </c>
      <c r="J241">
        <f t="shared" si="17"/>
        <v>4589</v>
      </c>
      <c r="K241">
        <f t="shared" si="18"/>
        <v>10.530000000000001</v>
      </c>
      <c r="L241">
        <f t="shared" si="19"/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Louis.Garnier</dc:creator>
  <cp:lastModifiedBy>Louis.Garnier</cp:lastModifiedBy>
  <dcterms:created xsi:type="dcterms:W3CDTF">2025-02-05T20:38:55Z</dcterms:created>
  <dcterms:modified xsi:type="dcterms:W3CDTF">2025-02-11T14:48:27Z</dcterms:modified>
</cp:coreProperties>
</file>